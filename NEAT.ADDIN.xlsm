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icon_big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f7239acecac349cb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niel Holanda\Documents\Neat Testes\"/>
    </mc:Choice>
  </mc:AlternateContent>
  <bookViews>
    <workbookView showHorizontalScroll="0" showVerticalScroll="0" showSheetTabs="0" xWindow="0" yWindow="45" windowWidth="10275" windowHeight="8100" tabRatio="327"/>
  </bookViews>
  <sheets>
    <sheet name="NEAT" sheetId="16" r:id="rId1"/>
    <sheet name="Tutorial" sheetId="21" r:id="rId2"/>
    <sheet name="FS(2)" sheetId="18" r:id="rId3"/>
    <sheet name="DCF(3)" sheetId="19" r:id="rId4"/>
    <sheet name="DCF(4)" sheetId="20" r:id="rId5"/>
    <sheet name="FS(1)" sheetId="13" state="hidden" r:id="rId6"/>
    <sheet name="DCF(1)" sheetId="14" state="hidden" r:id="rId7"/>
    <sheet name="DCF(2)" sheetId="15" state="hidden" r:id="rId8"/>
  </sheets>
  <functionGroups builtInGroupCount="18"/>
  <definedNames>
    <definedName name="AddinName">NEAT!$C$23</definedName>
    <definedName name="Checkem">NEAT!$C$24</definedName>
    <definedName name="IsInstaller">NEAT!$C$25</definedName>
  </definedNames>
  <calcPr calcId="171027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183" i="21" l="1"/>
  <c r="H184" i="21" s="1"/>
  <c r="J182" i="21"/>
  <c r="J183" i="21" s="1"/>
  <c r="I154" i="21"/>
  <c r="H154" i="21"/>
  <c r="I153" i="21"/>
  <c r="H153" i="21"/>
  <c r="N183" i="21" l="1"/>
  <c r="L183" i="21"/>
  <c r="L182" i="21"/>
  <c r="E22" i="20"/>
  <c r="F22" i="20" s="1"/>
  <c r="G22" i="20" s="1"/>
  <c r="H22" i="20" s="1"/>
  <c r="I22" i="20" s="1"/>
  <c r="J22" i="20" s="1"/>
  <c r="K22" i="20" s="1"/>
  <c r="L22" i="20" s="1"/>
  <c r="M22" i="20" s="1"/>
  <c r="N22" i="20" s="1"/>
  <c r="E18" i="20"/>
  <c r="F18" i="20" s="1"/>
  <c r="G18" i="20" s="1"/>
  <c r="H18" i="20" s="1"/>
  <c r="I18" i="20" s="1"/>
  <c r="J18" i="20" s="1"/>
  <c r="K18" i="20" s="1"/>
  <c r="L18" i="20" s="1"/>
  <c r="M18" i="20" s="1"/>
  <c r="B15" i="20"/>
  <c r="B13" i="20"/>
  <c r="F8" i="20"/>
  <c r="E8" i="20"/>
  <c r="D8" i="20"/>
  <c r="G7" i="20"/>
  <c r="G8" i="20" s="1"/>
  <c r="E6" i="20"/>
  <c r="D6" i="20"/>
  <c r="F5" i="20"/>
  <c r="F6" i="20" s="1"/>
  <c r="E2" i="20"/>
  <c r="F2" i="20" s="1"/>
  <c r="G2" i="20" s="1"/>
  <c r="H2" i="20" s="1"/>
  <c r="I2" i="20" s="1"/>
  <c r="J2" i="20" s="1"/>
  <c r="K2" i="20" s="1"/>
  <c r="L2" i="20" s="1"/>
  <c r="M2" i="20" s="1"/>
  <c r="N2" i="20" s="1"/>
  <c r="H22" i="19"/>
  <c r="I22" i="19" s="1"/>
  <c r="J22" i="19" s="1"/>
  <c r="K22" i="19" s="1"/>
  <c r="L22" i="19" s="1"/>
  <c r="M22" i="19" s="1"/>
  <c r="N22" i="19" s="1"/>
  <c r="O22" i="19" s="1"/>
  <c r="P22" i="19" s="1"/>
  <c r="Q22" i="19" s="1"/>
  <c r="H18" i="19"/>
  <c r="I18" i="19" s="1"/>
  <c r="J18" i="19" s="1"/>
  <c r="K18" i="19" s="1"/>
  <c r="L18" i="19" s="1"/>
  <c r="M18" i="19" s="1"/>
  <c r="N18" i="19" s="1"/>
  <c r="O18" i="19" s="1"/>
  <c r="P18" i="19" s="1"/>
  <c r="B15" i="19"/>
  <c r="B13" i="19"/>
  <c r="G8" i="19"/>
  <c r="F8" i="19"/>
  <c r="E8" i="19"/>
  <c r="D8" i="19"/>
  <c r="J7" i="19"/>
  <c r="K7" i="19" s="1"/>
  <c r="L7" i="19" s="1"/>
  <c r="M7" i="19" s="1"/>
  <c r="N7" i="19" s="1"/>
  <c r="O7" i="19" s="1"/>
  <c r="P7" i="19" s="1"/>
  <c r="Q7" i="19" s="1"/>
  <c r="G6" i="19"/>
  <c r="G20" i="19" s="1"/>
  <c r="F6" i="19"/>
  <c r="E6" i="19"/>
  <c r="D6" i="19"/>
  <c r="I5" i="19"/>
  <c r="J5" i="19" s="1"/>
  <c r="K5" i="19" s="1"/>
  <c r="L5" i="19" s="1"/>
  <c r="M5" i="19" s="1"/>
  <c r="N5" i="19" s="1"/>
  <c r="O5" i="19" s="1"/>
  <c r="P5" i="19" s="1"/>
  <c r="Q5" i="19" s="1"/>
  <c r="H4" i="19"/>
  <c r="I4" i="19" s="1"/>
  <c r="I6" i="19" s="1"/>
  <c r="G3" i="19"/>
  <c r="E2" i="19"/>
  <c r="F2" i="19" s="1"/>
  <c r="G2" i="19" s="1"/>
  <c r="H2" i="19" s="1"/>
  <c r="I2" i="19" s="1"/>
  <c r="J2" i="19" s="1"/>
  <c r="K2" i="19" s="1"/>
  <c r="L2" i="19" s="1"/>
  <c r="M2" i="19" s="1"/>
  <c r="N2" i="19" s="1"/>
  <c r="O2" i="19" s="1"/>
  <c r="P2" i="19" s="1"/>
  <c r="Q2" i="19" s="1"/>
  <c r="D46" i="18"/>
  <c r="H43" i="18"/>
  <c r="I43" i="18" s="1"/>
  <c r="J43" i="18" s="1"/>
  <c r="K43" i="18" s="1"/>
  <c r="L43" i="18" s="1"/>
  <c r="M43" i="18" s="1"/>
  <c r="N43" i="18" s="1"/>
  <c r="O43" i="18" s="1"/>
  <c r="P43" i="18" s="1"/>
  <c r="Q43" i="18" s="1"/>
  <c r="F40" i="18"/>
  <c r="E40" i="18"/>
  <c r="E26" i="18" s="1"/>
  <c r="F26" i="18" s="1"/>
  <c r="G11" i="18" s="1"/>
  <c r="G40" i="18" s="1"/>
  <c r="D40" i="18"/>
  <c r="B39" i="18"/>
  <c r="E38" i="18"/>
  <c r="F38" i="18" s="1"/>
  <c r="G38" i="18" s="1"/>
  <c r="H38" i="18" s="1"/>
  <c r="I38" i="18" s="1"/>
  <c r="J38" i="18" s="1"/>
  <c r="K38" i="18" s="1"/>
  <c r="L38" i="18" s="1"/>
  <c r="M38" i="18" s="1"/>
  <c r="N38" i="18" s="1"/>
  <c r="O38" i="18" s="1"/>
  <c r="P38" i="18" s="1"/>
  <c r="Q38" i="18" s="1"/>
  <c r="G32" i="18"/>
  <c r="H30" i="18" s="1"/>
  <c r="D31" i="18"/>
  <c r="D34" i="18" s="1"/>
  <c r="D25" i="18"/>
  <c r="D27" i="18" s="1"/>
  <c r="G24" i="18"/>
  <c r="F24" i="18"/>
  <c r="F41" i="18" s="1"/>
  <c r="E24" i="18"/>
  <c r="E41" i="18" s="1"/>
  <c r="E21" i="18"/>
  <c r="F21" i="18" s="1"/>
  <c r="G21" i="18" s="1"/>
  <c r="H21" i="18" s="1"/>
  <c r="I21" i="18" s="1"/>
  <c r="J21" i="18" s="1"/>
  <c r="K21" i="18" s="1"/>
  <c r="L21" i="18" s="1"/>
  <c r="M21" i="18" s="1"/>
  <c r="N21" i="18" s="1"/>
  <c r="O21" i="18" s="1"/>
  <c r="P21" i="18" s="1"/>
  <c r="Q21" i="18" s="1"/>
  <c r="B18" i="18"/>
  <c r="B13" i="18"/>
  <c r="G8" i="18"/>
  <c r="F8" i="18"/>
  <c r="E8" i="18"/>
  <c r="D8" i="18"/>
  <c r="J7" i="18"/>
  <c r="K7" i="18" s="1"/>
  <c r="L7" i="18" s="1"/>
  <c r="M7" i="18" s="1"/>
  <c r="N7" i="18" s="1"/>
  <c r="O7" i="18" s="1"/>
  <c r="P7" i="18" s="1"/>
  <c r="Q7" i="18" s="1"/>
  <c r="G6" i="18"/>
  <c r="G23" i="18" s="1"/>
  <c r="F6" i="18"/>
  <c r="E6" i="18"/>
  <c r="E9" i="18" s="1"/>
  <c r="E15" i="18" s="1"/>
  <c r="E17" i="18" s="1"/>
  <c r="D6" i="18"/>
  <c r="I5" i="18"/>
  <c r="J5" i="18" s="1"/>
  <c r="K5" i="18" s="1"/>
  <c r="L5" i="18" s="1"/>
  <c r="M5" i="18" s="1"/>
  <c r="N5" i="18" s="1"/>
  <c r="O5" i="18" s="1"/>
  <c r="P5" i="18" s="1"/>
  <c r="Q5" i="18" s="1"/>
  <c r="H4" i="18"/>
  <c r="H8" i="18" s="1"/>
  <c r="G3" i="18"/>
  <c r="G28" i="18" s="1"/>
  <c r="E2" i="18"/>
  <c r="F2" i="18" s="1"/>
  <c r="G2" i="18" s="1"/>
  <c r="H2" i="18" s="1"/>
  <c r="I2" i="18" s="1"/>
  <c r="J2" i="18" s="1"/>
  <c r="K2" i="18" s="1"/>
  <c r="L2" i="18" s="1"/>
  <c r="M2" i="18" s="1"/>
  <c r="N2" i="18" s="1"/>
  <c r="O2" i="18" s="1"/>
  <c r="P2" i="18" s="1"/>
  <c r="Q2" i="18" s="1"/>
  <c r="P183" i="21" l="1"/>
  <c r="E20" i="20"/>
  <c r="F9" i="18"/>
  <c r="F9" i="19"/>
  <c r="F12" i="19" s="1"/>
  <c r="G5" i="20"/>
  <c r="H7" i="20"/>
  <c r="D9" i="18"/>
  <c r="E9" i="19"/>
  <c r="E12" i="19" s="1"/>
  <c r="E13" i="19" s="1"/>
  <c r="F9" i="20"/>
  <c r="F12" i="20" s="1"/>
  <c r="F13" i="20" s="1"/>
  <c r="E9" i="20"/>
  <c r="E12" i="20" s="1"/>
  <c r="E14" i="20" s="1"/>
  <c r="H32" i="18"/>
  <c r="I30" i="18" s="1"/>
  <c r="D9" i="19"/>
  <c r="D12" i="19" s="1"/>
  <c r="D14" i="19" s="1"/>
  <c r="D15" i="19" s="1"/>
  <c r="F20" i="20"/>
  <c r="G41" i="18"/>
  <c r="E33" i="18"/>
  <c r="E39" i="18"/>
  <c r="E42" i="18" s="1"/>
  <c r="E18" i="18"/>
  <c r="F15" i="18"/>
  <c r="F17" i="18" s="1"/>
  <c r="F12" i="18"/>
  <c r="F13" i="18" s="1"/>
  <c r="I32" i="18"/>
  <c r="H6" i="18"/>
  <c r="D35" i="18"/>
  <c r="G26" i="18"/>
  <c r="H3" i="18"/>
  <c r="I4" i="18"/>
  <c r="E12" i="18"/>
  <c r="E13" i="18" s="1"/>
  <c r="H6" i="19"/>
  <c r="I20" i="19" s="1"/>
  <c r="H3" i="19"/>
  <c r="I3" i="19" s="1"/>
  <c r="H8" i="19"/>
  <c r="E14" i="19"/>
  <c r="E15" i="19" s="1"/>
  <c r="D15" i="18"/>
  <c r="D17" i="18" s="1"/>
  <c r="D12" i="18"/>
  <c r="D13" i="18" s="1"/>
  <c r="G9" i="18"/>
  <c r="I8" i="19"/>
  <c r="I9" i="19" s="1"/>
  <c r="I12" i="19" s="1"/>
  <c r="J4" i="19"/>
  <c r="E13" i="20"/>
  <c r="F13" i="19"/>
  <c r="F14" i="19"/>
  <c r="F15" i="19" s="1"/>
  <c r="F14" i="20"/>
  <c r="G9" i="19"/>
  <c r="G12" i="19" s="1"/>
  <c r="D9" i="20"/>
  <c r="D12" i="20" s="1"/>
  <c r="E22" i="15"/>
  <c r="F22" i="15" s="1"/>
  <c r="G22" i="15" s="1"/>
  <c r="H22" i="15" s="1"/>
  <c r="I22" i="15" s="1"/>
  <c r="J22" i="15" s="1"/>
  <c r="K22" i="15" s="1"/>
  <c r="L22" i="15" s="1"/>
  <c r="M22" i="15" s="1"/>
  <c r="N22" i="15" s="1"/>
  <c r="E18" i="15"/>
  <c r="F18" i="15" s="1"/>
  <c r="G18" i="15" s="1"/>
  <c r="H18" i="15" s="1"/>
  <c r="I18" i="15" s="1"/>
  <c r="J18" i="15" s="1"/>
  <c r="K18" i="15" s="1"/>
  <c r="L18" i="15" s="1"/>
  <c r="M18" i="15" s="1"/>
  <c r="B15" i="15"/>
  <c r="B13" i="15"/>
  <c r="F8" i="15"/>
  <c r="E8" i="15"/>
  <c r="D8" i="15"/>
  <c r="G7" i="15"/>
  <c r="G8" i="15" s="1"/>
  <c r="E6" i="15"/>
  <c r="D6" i="15"/>
  <c r="F5" i="15"/>
  <c r="F6" i="15" s="1"/>
  <c r="E2" i="15"/>
  <c r="F2" i="15" s="1"/>
  <c r="G2" i="15" s="1"/>
  <c r="H2" i="15" s="1"/>
  <c r="I2" i="15" s="1"/>
  <c r="J2" i="15" s="1"/>
  <c r="K2" i="15" s="1"/>
  <c r="L2" i="15" s="1"/>
  <c r="M2" i="15" s="1"/>
  <c r="N2" i="15" s="1"/>
  <c r="H22" i="14"/>
  <c r="I22" i="14" s="1"/>
  <c r="J22" i="14" s="1"/>
  <c r="K22" i="14" s="1"/>
  <c r="L22" i="14" s="1"/>
  <c r="M22" i="14" s="1"/>
  <c r="N22" i="14" s="1"/>
  <c r="O22" i="14" s="1"/>
  <c r="P22" i="14" s="1"/>
  <c r="Q22" i="14" s="1"/>
  <c r="H18" i="14"/>
  <c r="I18" i="14" s="1"/>
  <c r="J18" i="14" s="1"/>
  <c r="K18" i="14" s="1"/>
  <c r="L18" i="14" s="1"/>
  <c r="M18" i="14" s="1"/>
  <c r="N18" i="14" s="1"/>
  <c r="O18" i="14" s="1"/>
  <c r="P18" i="14" s="1"/>
  <c r="B15" i="14"/>
  <c r="B13" i="14"/>
  <c r="G8" i="14"/>
  <c r="F8" i="14"/>
  <c r="E8" i="14"/>
  <c r="D8" i="14"/>
  <c r="J7" i="14"/>
  <c r="K7" i="14" s="1"/>
  <c r="L7" i="14" s="1"/>
  <c r="M7" i="14" s="1"/>
  <c r="N7" i="14" s="1"/>
  <c r="O7" i="14" s="1"/>
  <c r="P7" i="14" s="1"/>
  <c r="Q7" i="14" s="1"/>
  <c r="G6" i="14"/>
  <c r="F6" i="14"/>
  <c r="E6" i="14"/>
  <c r="D6" i="14"/>
  <c r="I5" i="14"/>
  <c r="J5" i="14" s="1"/>
  <c r="K5" i="14" s="1"/>
  <c r="L5" i="14" s="1"/>
  <c r="M5" i="14" s="1"/>
  <c r="N5" i="14" s="1"/>
  <c r="O5" i="14" s="1"/>
  <c r="P5" i="14" s="1"/>
  <c r="Q5" i="14" s="1"/>
  <c r="H4" i="14"/>
  <c r="H6" i="14" s="1"/>
  <c r="G3" i="14"/>
  <c r="E2" i="14"/>
  <c r="F2" i="14" s="1"/>
  <c r="G2" i="14" s="1"/>
  <c r="H2" i="14" s="1"/>
  <c r="I2" i="14" s="1"/>
  <c r="J2" i="14" s="1"/>
  <c r="K2" i="14" s="1"/>
  <c r="L2" i="14" s="1"/>
  <c r="M2" i="14" s="1"/>
  <c r="N2" i="14" s="1"/>
  <c r="O2" i="14" s="1"/>
  <c r="P2" i="14" s="1"/>
  <c r="Q2" i="14" s="1"/>
  <c r="D46" i="13"/>
  <c r="H43" i="13"/>
  <c r="I43" i="13" s="1"/>
  <c r="J43" i="13" s="1"/>
  <c r="K43" i="13" s="1"/>
  <c r="L43" i="13" s="1"/>
  <c r="M43" i="13" s="1"/>
  <c r="N43" i="13" s="1"/>
  <c r="O43" i="13" s="1"/>
  <c r="P43" i="13" s="1"/>
  <c r="Q43" i="13" s="1"/>
  <c r="F40" i="13"/>
  <c r="E40" i="13"/>
  <c r="E26" i="13" s="1"/>
  <c r="D40" i="13"/>
  <c r="B39" i="13"/>
  <c r="E38" i="13"/>
  <c r="F38" i="13" s="1"/>
  <c r="G38" i="13" s="1"/>
  <c r="H38" i="13" s="1"/>
  <c r="I38" i="13" s="1"/>
  <c r="J38" i="13" s="1"/>
  <c r="K38" i="13" s="1"/>
  <c r="L38" i="13" s="1"/>
  <c r="M38" i="13" s="1"/>
  <c r="N38" i="13" s="1"/>
  <c r="O38" i="13" s="1"/>
  <c r="P38" i="13" s="1"/>
  <c r="Q38" i="13" s="1"/>
  <c r="G32" i="13"/>
  <c r="H32" i="13" s="1"/>
  <c r="D31" i="13"/>
  <c r="D34" i="13" s="1"/>
  <c r="D25" i="13"/>
  <c r="D27" i="13" s="1"/>
  <c r="E24" i="13"/>
  <c r="F24" i="13" s="1"/>
  <c r="E21" i="13"/>
  <c r="F21" i="13" s="1"/>
  <c r="G21" i="13" s="1"/>
  <c r="H21" i="13" s="1"/>
  <c r="I21" i="13" s="1"/>
  <c r="J21" i="13" s="1"/>
  <c r="K21" i="13" s="1"/>
  <c r="L21" i="13" s="1"/>
  <c r="M21" i="13" s="1"/>
  <c r="N21" i="13" s="1"/>
  <c r="O21" i="13" s="1"/>
  <c r="P21" i="13" s="1"/>
  <c r="Q21" i="13" s="1"/>
  <c r="B18" i="13"/>
  <c r="B13" i="13"/>
  <c r="G8" i="13"/>
  <c r="F8" i="13"/>
  <c r="E8" i="13"/>
  <c r="D8" i="13"/>
  <c r="J7" i="13"/>
  <c r="K7" i="13" s="1"/>
  <c r="L7" i="13" s="1"/>
  <c r="M7" i="13" s="1"/>
  <c r="N7" i="13" s="1"/>
  <c r="O7" i="13" s="1"/>
  <c r="P7" i="13" s="1"/>
  <c r="Q7" i="13" s="1"/>
  <c r="G6" i="13"/>
  <c r="G23" i="13" s="1"/>
  <c r="F6" i="13"/>
  <c r="E6" i="13"/>
  <c r="D6" i="13"/>
  <c r="I5" i="13"/>
  <c r="J5" i="13" s="1"/>
  <c r="K5" i="13" s="1"/>
  <c r="L5" i="13" s="1"/>
  <c r="M5" i="13" s="1"/>
  <c r="N5" i="13" s="1"/>
  <c r="O5" i="13" s="1"/>
  <c r="P5" i="13" s="1"/>
  <c r="Q5" i="13" s="1"/>
  <c r="H4" i="13"/>
  <c r="H6" i="13" s="1"/>
  <c r="G3" i="13"/>
  <c r="G28" i="13" s="1"/>
  <c r="E2" i="13"/>
  <c r="F2" i="13" s="1"/>
  <c r="G2" i="13" s="1"/>
  <c r="H2" i="13" s="1"/>
  <c r="I2" i="13" s="1"/>
  <c r="J2" i="13" s="1"/>
  <c r="K2" i="13" s="1"/>
  <c r="L2" i="13" s="1"/>
  <c r="M2" i="13" s="1"/>
  <c r="N2" i="13" s="1"/>
  <c r="O2" i="13" s="1"/>
  <c r="P2" i="13" s="1"/>
  <c r="Q2" i="13" s="1"/>
  <c r="R184" i="21" l="1"/>
  <c r="R182" i="21"/>
  <c r="R183" i="21"/>
  <c r="F21" i="20"/>
  <c r="D13" i="19"/>
  <c r="G6" i="20"/>
  <c r="H5" i="20"/>
  <c r="I3" i="18"/>
  <c r="I28" i="18" s="1"/>
  <c r="H8" i="20"/>
  <c r="I7" i="20"/>
  <c r="E21" i="20"/>
  <c r="J32" i="18"/>
  <c r="I13" i="19"/>
  <c r="I14" i="19"/>
  <c r="I21" i="19"/>
  <c r="F19" i="20"/>
  <c r="F23" i="20" s="1"/>
  <c r="F24" i="20" s="1"/>
  <c r="F15" i="20"/>
  <c r="F39" i="18"/>
  <c r="F42" i="18" s="1"/>
  <c r="F18" i="18"/>
  <c r="G12" i="18"/>
  <c r="G13" i="18" s="1"/>
  <c r="I6" i="18"/>
  <c r="J4" i="18"/>
  <c r="J3" i="18"/>
  <c r="J28" i="18" s="1"/>
  <c r="I8" i="18"/>
  <c r="H11" i="18"/>
  <c r="H40" i="18" s="1"/>
  <c r="H26" i="18" s="1"/>
  <c r="J30" i="18"/>
  <c r="E29" i="18"/>
  <c r="G21" i="19"/>
  <c r="G14" i="19"/>
  <c r="G13" i="19"/>
  <c r="E19" i="20"/>
  <c r="E15" i="20"/>
  <c r="D14" i="20"/>
  <c r="D13" i="20"/>
  <c r="D21" i="20"/>
  <c r="J8" i="19"/>
  <c r="K4" i="19"/>
  <c r="J6" i="19"/>
  <c r="J3" i="19"/>
  <c r="D39" i="18"/>
  <c r="D42" i="18" s="1"/>
  <c r="D45" i="18" s="1"/>
  <c r="D18" i="18"/>
  <c r="H20" i="19"/>
  <c r="H9" i="19"/>
  <c r="H12" i="19" s="1"/>
  <c r="H28" i="18"/>
  <c r="H24" i="18"/>
  <c r="I24" i="18" s="1"/>
  <c r="J24" i="18" s="1"/>
  <c r="H9" i="18"/>
  <c r="H23" i="18"/>
  <c r="F33" i="18"/>
  <c r="D9" i="13"/>
  <c r="D15" i="13" s="1"/>
  <c r="D17" i="13" s="1"/>
  <c r="E9" i="14"/>
  <c r="E12" i="14" s="1"/>
  <c r="E14" i="14" s="1"/>
  <c r="E15" i="14" s="1"/>
  <c r="D9" i="15"/>
  <c r="D12" i="15" s="1"/>
  <c r="D21" i="15" s="1"/>
  <c r="F26" i="13"/>
  <c r="G11" i="13" s="1"/>
  <c r="G40" i="13" s="1"/>
  <c r="G5" i="15"/>
  <c r="G6" i="15" s="1"/>
  <c r="G20" i="15" s="1"/>
  <c r="H7" i="15"/>
  <c r="H8" i="15" s="1"/>
  <c r="F9" i="13"/>
  <c r="F15" i="13" s="1"/>
  <c r="F17" i="13" s="1"/>
  <c r="H20" i="14"/>
  <c r="F9" i="14"/>
  <c r="F12" i="14" s="1"/>
  <c r="F13" i="14" s="1"/>
  <c r="E9" i="13"/>
  <c r="E15" i="13" s="1"/>
  <c r="E17" i="13" s="1"/>
  <c r="H8" i="14"/>
  <c r="I4" i="14"/>
  <c r="I6" i="14" s="1"/>
  <c r="I20" i="14" s="1"/>
  <c r="G20" i="14"/>
  <c r="E20" i="15"/>
  <c r="E9" i="15"/>
  <c r="E12" i="15" s="1"/>
  <c r="E13" i="15" s="1"/>
  <c r="H30" i="13"/>
  <c r="I32" i="13" s="1"/>
  <c r="D9" i="14"/>
  <c r="D12" i="14" s="1"/>
  <c r="D13" i="14" s="1"/>
  <c r="F9" i="15"/>
  <c r="F12" i="15" s="1"/>
  <c r="F20" i="15"/>
  <c r="H3" i="14"/>
  <c r="G9" i="14"/>
  <c r="G12" i="14" s="1"/>
  <c r="H9" i="14"/>
  <c r="H12" i="14" s="1"/>
  <c r="H23" i="13"/>
  <c r="D12" i="13"/>
  <c r="D13" i="13" s="1"/>
  <c r="D35" i="13"/>
  <c r="I4" i="13"/>
  <c r="H8" i="13"/>
  <c r="H9" i="13" s="1"/>
  <c r="H3" i="13"/>
  <c r="H28" i="13" s="1"/>
  <c r="G9" i="13"/>
  <c r="F41" i="13"/>
  <c r="G24" i="13"/>
  <c r="E41" i="13"/>
  <c r="J7" i="20" l="1"/>
  <c r="I8" i="20"/>
  <c r="G20" i="20"/>
  <c r="G9" i="20"/>
  <c r="G12" i="20" s="1"/>
  <c r="I5" i="20"/>
  <c r="H6" i="20"/>
  <c r="E13" i="14"/>
  <c r="E23" i="20"/>
  <c r="E24" i="20" s="1"/>
  <c r="H12" i="18"/>
  <c r="H13" i="18" s="1"/>
  <c r="I11" i="18"/>
  <c r="I40" i="18" s="1"/>
  <c r="I26" i="18" s="1"/>
  <c r="D15" i="20"/>
  <c r="D19" i="20"/>
  <c r="D23" i="20" s="1"/>
  <c r="D24" i="20" s="1"/>
  <c r="K30" i="18"/>
  <c r="J20" i="19"/>
  <c r="J9" i="19"/>
  <c r="J12" i="19" s="1"/>
  <c r="G15" i="19"/>
  <c r="G19" i="19"/>
  <c r="G23" i="19" s="1"/>
  <c r="G24" i="19" s="1"/>
  <c r="I19" i="19"/>
  <c r="I23" i="19" s="1"/>
  <c r="I24" i="19" s="1"/>
  <c r="I15" i="19"/>
  <c r="I9" i="18"/>
  <c r="I23" i="18"/>
  <c r="I41" i="18" s="1"/>
  <c r="E44" i="18"/>
  <c r="E45" i="18" s="1"/>
  <c r="E46" i="18" s="1"/>
  <c r="E22" i="18" s="1"/>
  <c r="E31" i="18"/>
  <c r="E34" i="18" s="1"/>
  <c r="H41" i="18"/>
  <c r="H14" i="19"/>
  <c r="H21" i="19"/>
  <c r="H13" i="19"/>
  <c r="K6" i="19"/>
  <c r="K8" i="19"/>
  <c r="L4" i="19"/>
  <c r="K3" i="19"/>
  <c r="J8" i="18"/>
  <c r="K4" i="18"/>
  <c r="J6" i="18"/>
  <c r="K32" i="18"/>
  <c r="L32" i="18" s="1"/>
  <c r="I3" i="14"/>
  <c r="F14" i="14"/>
  <c r="F15" i="14" s="1"/>
  <c r="E21" i="15"/>
  <c r="G26" i="13"/>
  <c r="H11" i="13" s="1"/>
  <c r="H40" i="13" s="1"/>
  <c r="H26" i="13" s="1"/>
  <c r="I8" i="14"/>
  <c r="I9" i="14" s="1"/>
  <c r="I12" i="14" s="1"/>
  <c r="I21" i="14" s="1"/>
  <c r="F12" i="13"/>
  <c r="F13" i="13" s="1"/>
  <c r="G9" i="15"/>
  <c r="G12" i="15" s="1"/>
  <c r="G21" i="15" s="1"/>
  <c r="D13" i="15"/>
  <c r="I30" i="13"/>
  <c r="J30" i="13" s="1"/>
  <c r="J4" i="14"/>
  <c r="K4" i="14" s="1"/>
  <c r="I7" i="15"/>
  <c r="J7" i="15" s="1"/>
  <c r="E14" i="15"/>
  <c r="E15" i="15" s="1"/>
  <c r="H5" i="15"/>
  <c r="H6" i="15" s="1"/>
  <c r="D14" i="15"/>
  <c r="D15" i="15" s="1"/>
  <c r="E12" i="13"/>
  <c r="E13" i="13" s="1"/>
  <c r="I3" i="13"/>
  <c r="I28" i="13" s="1"/>
  <c r="H24" i="13"/>
  <c r="H41" i="13" s="1"/>
  <c r="D14" i="14"/>
  <c r="D15" i="14" s="1"/>
  <c r="F21" i="15"/>
  <c r="F13" i="15"/>
  <c r="F14" i="15"/>
  <c r="G14" i="15"/>
  <c r="G14" i="14"/>
  <c r="G13" i="14"/>
  <c r="G21" i="14"/>
  <c r="H13" i="14"/>
  <c r="H21" i="14"/>
  <c r="H14" i="14"/>
  <c r="G12" i="13"/>
  <c r="G13" i="13" s="1"/>
  <c r="G41" i="13"/>
  <c r="E39" i="13"/>
  <c r="E42" i="13" s="1"/>
  <c r="E33" i="13"/>
  <c r="E18" i="13"/>
  <c r="I6" i="13"/>
  <c r="I8" i="13"/>
  <c r="J4" i="13"/>
  <c r="D18" i="13"/>
  <c r="D39" i="13"/>
  <c r="D42" i="13" s="1"/>
  <c r="D45" i="13" s="1"/>
  <c r="F18" i="13"/>
  <c r="F39" i="13"/>
  <c r="F42" i="13" s="1"/>
  <c r="H20" i="20" l="1"/>
  <c r="H9" i="20"/>
  <c r="H12" i="20" s="1"/>
  <c r="G21" i="20"/>
  <c r="G13" i="20"/>
  <c r="G14" i="20"/>
  <c r="J5" i="20"/>
  <c r="I6" i="20"/>
  <c r="J8" i="20"/>
  <c r="K7" i="20"/>
  <c r="I5" i="15"/>
  <c r="J11" i="18"/>
  <c r="J40" i="18" s="1"/>
  <c r="J26" i="18" s="1"/>
  <c r="K9" i="19"/>
  <c r="K12" i="19" s="1"/>
  <c r="K20" i="19"/>
  <c r="E25" i="18"/>
  <c r="E27" i="18" s="1"/>
  <c r="E35" i="18" s="1"/>
  <c r="J13" i="19"/>
  <c r="J14" i="19"/>
  <c r="J21" i="19"/>
  <c r="J23" i="18"/>
  <c r="J41" i="18" s="1"/>
  <c r="J9" i="18"/>
  <c r="I12" i="18"/>
  <c r="I13" i="18" s="1"/>
  <c r="L30" i="18"/>
  <c r="M32" i="18" s="1"/>
  <c r="K8" i="18"/>
  <c r="L4" i="18"/>
  <c r="K6" i="18"/>
  <c r="K3" i="18"/>
  <c r="L6" i="19"/>
  <c r="L8" i="19"/>
  <c r="M4" i="19"/>
  <c r="M3" i="19" s="1"/>
  <c r="L3" i="19"/>
  <c r="F29" i="18"/>
  <c r="H19" i="19"/>
  <c r="H23" i="19" s="1"/>
  <c r="H24" i="19" s="1"/>
  <c r="H15" i="19"/>
  <c r="I8" i="15"/>
  <c r="I14" i="14"/>
  <c r="I15" i="14" s="1"/>
  <c r="G13" i="15"/>
  <c r="J32" i="13"/>
  <c r="K32" i="13" s="1"/>
  <c r="I13" i="14"/>
  <c r="E19" i="15"/>
  <c r="E23" i="15" s="1"/>
  <c r="E24" i="15" s="1"/>
  <c r="D19" i="15"/>
  <c r="D23" i="15" s="1"/>
  <c r="D24" i="15" s="1"/>
  <c r="J3" i="14"/>
  <c r="K3" i="14" s="1"/>
  <c r="J6" i="14"/>
  <c r="J20" i="14" s="1"/>
  <c r="J8" i="14"/>
  <c r="I24" i="13"/>
  <c r="G19" i="15"/>
  <c r="G23" i="15" s="1"/>
  <c r="G24" i="15" s="1"/>
  <c r="G15" i="15"/>
  <c r="H20" i="15"/>
  <c r="H9" i="15"/>
  <c r="H12" i="15" s="1"/>
  <c r="K7" i="15"/>
  <c r="J8" i="15"/>
  <c r="F19" i="15"/>
  <c r="F23" i="15" s="1"/>
  <c r="F24" i="15" s="1"/>
  <c r="F15" i="15"/>
  <c r="J5" i="15"/>
  <c r="I6" i="15"/>
  <c r="G19" i="14"/>
  <c r="G23" i="14" s="1"/>
  <c r="G24" i="14" s="1"/>
  <c r="G15" i="14"/>
  <c r="I19" i="14"/>
  <c r="I23" i="14" s="1"/>
  <c r="I24" i="14" s="1"/>
  <c r="K8" i="14"/>
  <c r="L4" i="14"/>
  <c r="K6" i="14"/>
  <c r="H15" i="14"/>
  <c r="H19" i="14"/>
  <c r="H23" i="14" s="1"/>
  <c r="H24" i="14" s="1"/>
  <c r="I11" i="13"/>
  <c r="I40" i="13" s="1"/>
  <c r="I26" i="13" s="1"/>
  <c r="F33" i="13"/>
  <c r="J3" i="13"/>
  <c r="I23" i="13"/>
  <c r="I9" i="13"/>
  <c r="E29" i="13"/>
  <c r="H12" i="13"/>
  <c r="H13" i="13" s="1"/>
  <c r="J8" i="13"/>
  <c r="K4" i="13"/>
  <c r="K3" i="13" s="1"/>
  <c r="K28" i="13" s="1"/>
  <c r="J6" i="13"/>
  <c r="I20" i="20" l="1"/>
  <c r="I9" i="20"/>
  <c r="I12" i="20" s="1"/>
  <c r="K5" i="20"/>
  <c r="J6" i="20"/>
  <c r="H21" i="20"/>
  <c r="H14" i="20"/>
  <c r="H13" i="20"/>
  <c r="K8" i="20"/>
  <c r="L7" i="20"/>
  <c r="G19" i="20"/>
  <c r="G23" i="20" s="1"/>
  <c r="G24" i="20" s="1"/>
  <c r="G15" i="20"/>
  <c r="K11" i="18"/>
  <c r="K40" i="18" s="1"/>
  <c r="K26" i="18" s="1"/>
  <c r="K28" i="18"/>
  <c r="K24" i="18"/>
  <c r="K21" i="19"/>
  <c r="K14" i="19"/>
  <c r="K13" i="19"/>
  <c r="F44" i="18"/>
  <c r="F45" i="18" s="1"/>
  <c r="F46" i="18" s="1"/>
  <c r="F22" i="18" s="1"/>
  <c r="G14" i="18"/>
  <c r="G15" i="18" s="1"/>
  <c r="F31" i="18"/>
  <c r="F34" i="18" s="1"/>
  <c r="J19" i="19"/>
  <c r="J23" i="19" s="1"/>
  <c r="J24" i="19" s="1"/>
  <c r="J15" i="19"/>
  <c r="M8" i="19"/>
  <c r="N4" i="19"/>
  <c r="M6" i="19"/>
  <c r="K23" i="18"/>
  <c r="K41" i="18" s="1"/>
  <c r="K9" i="18"/>
  <c r="L9" i="19"/>
  <c r="L12" i="19" s="1"/>
  <c r="L20" i="19"/>
  <c r="J12" i="18"/>
  <c r="J13" i="18" s="1"/>
  <c r="L6" i="18"/>
  <c r="L8" i="18"/>
  <c r="M4" i="18"/>
  <c r="L3" i="18"/>
  <c r="L28" i="18" s="1"/>
  <c r="M30" i="18"/>
  <c r="K30" i="13"/>
  <c r="L32" i="13" s="1"/>
  <c r="J9" i="14"/>
  <c r="J12" i="14" s="1"/>
  <c r="J14" i="14" s="1"/>
  <c r="I41" i="13"/>
  <c r="J6" i="15"/>
  <c r="K5" i="15"/>
  <c r="H14" i="15"/>
  <c r="H21" i="15"/>
  <c r="H13" i="15"/>
  <c r="K8" i="15"/>
  <c r="L7" i="15"/>
  <c r="I20" i="15"/>
  <c r="I9" i="15"/>
  <c r="I12" i="15" s="1"/>
  <c r="L8" i="14"/>
  <c r="L6" i="14"/>
  <c r="M4" i="14"/>
  <c r="L3" i="14"/>
  <c r="K20" i="14"/>
  <c r="K9" i="14"/>
  <c r="K12" i="14" s="1"/>
  <c r="L4" i="13"/>
  <c r="K6" i="13"/>
  <c r="K8" i="13"/>
  <c r="E44" i="13"/>
  <c r="E45" i="13" s="1"/>
  <c r="E46" i="13" s="1"/>
  <c r="E22" i="13" s="1"/>
  <c r="F29" i="13" s="1"/>
  <c r="E31" i="13"/>
  <c r="E34" i="13" s="1"/>
  <c r="I12" i="13"/>
  <c r="I13" i="13" s="1"/>
  <c r="J11" i="13"/>
  <c r="J40" i="13" s="1"/>
  <c r="J26" i="13" s="1"/>
  <c r="J23" i="13"/>
  <c r="J9" i="13"/>
  <c r="J28" i="13"/>
  <c r="J24" i="13"/>
  <c r="K24" i="13" s="1"/>
  <c r="J9" i="20" l="1"/>
  <c r="J12" i="20" s="1"/>
  <c r="J20" i="20"/>
  <c r="K6" i="20"/>
  <c r="L5" i="20"/>
  <c r="H19" i="20"/>
  <c r="H23" i="20" s="1"/>
  <c r="H24" i="20" s="1"/>
  <c r="H15" i="20"/>
  <c r="I13" i="20"/>
  <c r="I21" i="20"/>
  <c r="I14" i="20"/>
  <c r="L8" i="20"/>
  <c r="M7" i="20"/>
  <c r="L11" i="18"/>
  <c r="L40" i="18" s="1"/>
  <c r="L26" i="18" s="1"/>
  <c r="L14" i="19"/>
  <c r="L21" i="19"/>
  <c r="L13" i="19"/>
  <c r="G16" i="18"/>
  <c r="G17" i="18" s="1"/>
  <c r="N30" i="18"/>
  <c r="M6" i="18"/>
  <c r="M8" i="18"/>
  <c r="N4" i="18"/>
  <c r="M3" i="18"/>
  <c r="M28" i="18" s="1"/>
  <c r="F25" i="18"/>
  <c r="F27" i="18" s="1"/>
  <c r="F35" i="18" s="1"/>
  <c r="K15" i="19"/>
  <c r="K19" i="19"/>
  <c r="K23" i="19" s="1"/>
  <c r="K24" i="19" s="1"/>
  <c r="M20" i="19"/>
  <c r="M9" i="19"/>
  <c r="M12" i="19" s="1"/>
  <c r="L9" i="18"/>
  <c r="L23" i="18"/>
  <c r="K12" i="18"/>
  <c r="K13" i="18" s="1"/>
  <c r="N8" i="19"/>
  <c r="O4" i="19"/>
  <c r="N6" i="19"/>
  <c r="N3" i="19"/>
  <c r="L24" i="18"/>
  <c r="N32" i="18"/>
  <c r="L30" i="13"/>
  <c r="M30" i="13" s="1"/>
  <c r="J13" i="14"/>
  <c r="J21" i="14"/>
  <c r="H19" i="15"/>
  <c r="H23" i="15" s="1"/>
  <c r="H24" i="15" s="1"/>
  <c r="H15" i="15"/>
  <c r="I21" i="15"/>
  <c r="I13" i="15"/>
  <c r="I14" i="15"/>
  <c r="K6" i="15"/>
  <c r="L5" i="15"/>
  <c r="J20" i="15"/>
  <c r="J9" i="15"/>
  <c r="J12" i="15" s="1"/>
  <c r="L8" i="15"/>
  <c r="M7" i="15"/>
  <c r="J19" i="14"/>
  <c r="J23" i="14" s="1"/>
  <c r="J24" i="14" s="1"/>
  <c r="J15" i="14"/>
  <c r="M6" i="14"/>
  <c r="M8" i="14"/>
  <c r="N4" i="14"/>
  <c r="L20" i="14"/>
  <c r="L9" i="14"/>
  <c r="L12" i="14" s="1"/>
  <c r="K13" i="14"/>
  <c r="K21" i="14"/>
  <c r="K14" i="14"/>
  <c r="M3" i="14"/>
  <c r="F44" i="13"/>
  <c r="F45" i="13" s="1"/>
  <c r="F46" i="13" s="1"/>
  <c r="F22" i="13" s="1"/>
  <c r="F31" i="13"/>
  <c r="F34" i="13" s="1"/>
  <c r="G14" i="13"/>
  <c r="G15" i="13" s="1"/>
  <c r="K11" i="13"/>
  <c r="K40" i="13" s="1"/>
  <c r="K26" i="13" s="1"/>
  <c r="K23" i="13"/>
  <c r="K41" i="13" s="1"/>
  <c r="K9" i="13"/>
  <c r="L6" i="13"/>
  <c r="L8" i="13"/>
  <c r="M4" i="13"/>
  <c r="L3" i="13"/>
  <c r="L28" i="13" s="1"/>
  <c r="J12" i="13"/>
  <c r="J13" i="13" s="1"/>
  <c r="E25" i="13"/>
  <c r="E27" i="13" s="1"/>
  <c r="E35" i="13" s="1"/>
  <c r="J41" i="13"/>
  <c r="N7" i="20" l="1"/>
  <c r="N8" i="20" s="1"/>
  <c r="M8" i="20"/>
  <c r="K9" i="20"/>
  <c r="K12" i="20" s="1"/>
  <c r="K20" i="20"/>
  <c r="M5" i="20"/>
  <c r="L6" i="20"/>
  <c r="O32" i="18"/>
  <c r="I19" i="20"/>
  <c r="I23" i="20" s="1"/>
  <c r="I24" i="20" s="1"/>
  <c r="I15" i="20"/>
  <c r="J13" i="20"/>
  <c r="J21" i="20"/>
  <c r="J14" i="20"/>
  <c r="L41" i="18"/>
  <c r="G18" i="18"/>
  <c r="G39" i="18"/>
  <c r="G42" i="18" s="1"/>
  <c r="G33" i="18"/>
  <c r="M11" i="18"/>
  <c r="M40" i="18" s="1"/>
  <c r="M26" i="18" s="1"/>
  <c r="N20" i="19"/>
  <c r="N9" i="19"/>
  <c r="N12" i="19" s="1"/>
  <c r="M9" i="18"/>
  <c r="M23" i="18"/>
  <c r="L15" i="19"/>
  <c r="L19" i="19"/>
  <c r="L23" i="19" s="1"/>
  <c r="L24" i="19" s="1"/>
  <c r="O30" i="18"/>
  <c r="M24" i="18"/>
  <c r="L12" i="18"/>
  <c r="L13" i="18" s="1"/>
  <c r="N8" i="18"/>
  <c r="O4" i="18"/>
  <c r="O3" i="18" s="1"/>
  <c r="O28" i="18" s="1"/>
  <c r="N6" i="18"/>
  <c r="N3" i="18"/>
  <c r="N28" i="18" s="1"/>
  <c r="M21" i="19"/>
  <c r="M13" i="19"/>
  <c r="M14" i="19"/>
  <c r="O6" i="19"/>
  <c r="O8" i="19"/>
  <c r="P4" i="19"/>
  <c r="O3" i="19"/>
  <c r="M32" i="13"/>
  <c r="N32" i="13" s="1"/>
  <c r="N3" i="14"/>
  <c r="N7" i="15"/>
  <c r="N8" i="15" s="1"/>
  <c r="M8" i="15"/>
  <c r="M5" i="15"/>
  <c r="L6" i="15"/>
  <c r="K20" i="15"/>
  <c r="K9" i="15"/>
  <c r="K12" i="15" s="1"/>
  <c r="J21" i="15"/>
  <c r="J13" i="15"/>
  <c r="J14" i="15"/>
  <c r="I19" i="15"/>
  <c r="I23" i="15" s="1"/>
  <c r="I24" i="15" s="1"/>
  <c r="I15" i="15"/>
  <c r="L13" i="14"/>
  <c r="L21" i="14"/>
  <c r="L14" i="14"/>
  <c r="M9" i="14"/>
  <c r="M12" i="14" s="1"/>
  <c r="M20" i="14"/>
  <c r="K19" i="14"/>
  <c r="K23" i="14" s="1"/>
  <c r="K24" i="14" s="1"/>
  <c r="K15" i="14"/>
  <c r="N6" i="14"/>
  <c r="N8" i="14"/>
  <c r="O4" i="14"/>
  <c r="L11" i="13"/>
  <c r="L40" i="13" s="1"/>
  <c r="L26" i="13" s="1"/>
  <c r="F25" i="13"/>
  <c r="F27" i="13" s="1"/>
  <c r="F35" i="13" s="1"/>
  <c r="L23" i="13"/>
  <c r="L9" i="13"/>
  <c r="G16" i="13"/>
  <c r="G17" i="13" s="1"/>
  <c r="M8" i="13"/>
  <c r="N4" i="13"/>
  <c r="M6" i="13"/>
  <c r="M3" i="13"/>
  <c r="M28" i="13" s="1"/>
  <c r="L24" i="13"/>
  <c r="K12" i="13"/>
  <c r="K13" i="13" s="1"/>
  <c r="K14" i="20" l="1"/>
  <c r="K13" i="20"/>
  <c r="K21" i="20"/>
  <c r="J19" i="20"/>
  <c r="J23" i="20" s="1"/>
  <c r="J24" i="20" s="1"/>
  <c r="J15" i="20"/>
  <c r="L20" i="20"/>
  <c r="L9" i="20"/>
  <c r="L12" i="20" s="1"/>
  <c r="N5" i="20"/>
  <c r="N6" i="20" s="1"/>
  <c r="M6" i="20"/>
  <c r="N11" i="18"/>
  <c r="N40" i="18" s="1"/>
  <c r="N26" i="18" s="1"/>
  <c r="P30" i="18"/>
  <c r="M12" i="18"/>
  <c r="M13" i="18" s="1"/>
  <c r="G29" i="18"/>
  <c r="O9" i="19"/>
  <c r="O12" i="19" s="1"/>
  <c r="O20" i="19"/>
  <c r="M19" i="19"/>
  <c r="M23" i="19" s="1"/>
  <c r="M24" i="19" s="1"/>
  <c r="M15" i="19"/>
  <c r="N13" i="19"/>
  <c r="N21" i="19"/>
  <c r="N14" i="19"/>
  <c r="P32" i="18"/>
  <c r="N23" i="18"/>
  <c r="N41" i="18" s="1"/>
  <c r="N9" i="18"/>
  <c r="P6" i="19"/>
  <c r="P8" i="19"/>
  <c r="Q4" i="19"/>
  <c r="P3" i="19"/>
  <c r="O8" i="18"/>
  <c r="P4" i="18"/>
  <c r="O6" i="18"/>
  <c r="N24" i="18"/>
  <c r="O24" i="18" s="1"/>
  <c r="M41" i="18"/>
  <c r="N30" i="13"/>
  <c r="O32" i="13" s="1"/>
  <c r="M24" i="13"/>
  <c r="L20" i="15"/>
  <c r="L9" i="15"/>
  <c r="L12" i="15" s="1"/>
  <c r="N5" i="15"/>
  <c r="N6" i="15" s="1"/>
  <c r="M6" i="15"/>
  <c r="K14" i="15"/>
  <c r="K21" i="15"/>
  <c r="K13" i="15"/>
  <c r="J19" i="15"/>
  <c r="J23" i="15" s="1"/>
  <c r="J24" i="15" s="1"/>
  <c r="J15" i="15"/>
  <c r="N20" i="14"/>
  <c r="N9" i="14"/>
  <c r="N12" i="14" s="1"/>
  <c r="M21" i="14"/>
  <c r="M13" i="14"/>
  <c r="M14" i="14"/>
  <c r="L19" i="14"/>
  <c r="L23" i="14" s="1"/>
  <c r="L24" i="14" s="1"/>
  <c r="L15" i="14"/>
  <c r="O8" i="14"/>
  <c r="P4" i="14"/>
  <c r="O6" i="14"/>
  <c r="O3" i="14"/>
  <c r="M11" i="13"/>
  <c r="M40" i="13" s="1"/>
  <c r="M26" i="13" s="1"/>
  <c r="G39" i="13"/>
  <c r="G42" i="13" s="1"/>
  <c r="G18" i="13"/>
  <c r="G33" i="13"/>
  <c r="L41" i="13"/>
  <c r="M23" i="13"/>
  <c r="M41" i="13" s="1"/>
  <c r="M9" i="13"/>
  <c r="N8" i="13"/>
  <c r="O4" i="13"/>
  <c r="N6" i="13"/>
  <c r="O30" i="13"/>
  <c r="N3" i="13"/>
  <c r="N28" i="13" s="1"/>
  <c r="L12" i="13"/>
  <c r="L13" i="13" s="1"/>
  <c r="L21" i="20" l="1"/>
  <c r="L14" i="20"/>
  <c r="L13" i="20"/>
  <c r="N9" i="20"/>
  <c r="N12" i="20" s="1"/>
  <c r="N20" i="20"/>
  <c r="M20" i="20"/>
  <c r="M9" i="20"/>
  <c r="M12" i="20" s="1"/>
  <c r="K19" i="20"/>
  <c r="K23" i="20" s="1"/>
  <c r="K24" i="20" s="1"/>
  <c r="K15" i="20"/>
  <c r="O23" i="18"/>
  <c r="O41" i="18" s="1"/>
  <c r="O9" i="18"/>
  <c r="N12" i="18"/>
  <c r="N13" i="18" s="1"/>
  <c r="G44" i="18"/>
  <c r="G45" i="18" s="1"/>
  <c r="G46" i="18" s="1"/>
  <c r="G22" i="18" s="1"/>
  <c r="H14" i="18"/>
  <c r="H15" i="18" s="1"/>
  <c r="G31" i="18"/>
  <c r="G34" i="18" s="1"/>
  <c r="P6" i="18"/>
  <c r="Q4" i="18"/>
  <c r="P8" i="18"/>
  <c r="Q8" i="19"/>
  <c r="Q6" i="19"/>
  <c r="Q3" i="19"/>
  <c r="Q30" i="18"/>
  <c r="O26" i="18"/>
  <c r="O11" i="18"/>
  <c r="O40" i="18" s="1"/>
  <c r="Q32" i="18"/>
  <c r="P3" i="18"/>
  <c r="P28" i="18" s="1"/>
  <c r="P9" i="19"/>
  <c r="P12" i="19" s="1"/>
  <c r="P20" i="19"/>
  <c r="O21" i="19"/>
  <c r="O13" i="19"/>
  <c r="O14" i="19"/>
  <c r="N19" i="19"/>
  <c r="N23" i="19" s="1"/>
  <c r="N24" i="19" s="1"/>
  <c r="N15" i="19"/>
  <c r="P32" i="13"/>
  <c r="M20" i="15"/>
  <c r="M9" i="15"/>
  <c r="M12" i="15" s="1"/>
  <c r="N20" i="15"/>
  <c r="N9" i="15"/>
  <c r="N12" i="15" s="1"/>
  <c r="K19" i="15"/>
  <c r="K23" i="15" s="1"/>
  <c r="K24" i="15" s="1"/>
  <c r="K15" i="15"/>
  <c r="L21" i="15"/>
  <c r="L13" i="15"/>
  <c r="L14" i="15"/>
  <c r="Q4" i="14"/>
  <c r="P6" i="14"/>
  <c r="P8" i="14"/>
  <c r="P3" i="14"/>
  <c r="N14" i="14"/>
  <c r="N13" i="14"/>
  <c r="N21" i="14"/>
  <c r="M19" i="14"/>
  <c r="M23" i="14" s="1"/>
  <c r="M24" i="14" s="1"/>
  <c r="M15" i="14"/>
  <c r="O20" i="14"/>
  <c r="O9" i="14"/>
  <c r="O12" i="14" s="1"/>
  <c r="N11" i="13"/>
  <c r="N40" i="13" s="1"/>
  <c r="N26" i="13" s="1"/>
  <c r="N24" i="13"/>
  <c r="O8" i="13"/>
  <c r="O6" i="13"/>
  <c r="P4" i="13"/>
  <c r="O3" i="13"/>
  <c r="O28" i="13" s="1"/>
  <c r="P30" i="13"/>
  <c r="G29" i="13"/>
  <c r="N23" i="13"/>
  <c r="N9" i="13"/>
  <c r="M12" i="13"/>
  <c r="M13" i="13" s="1"/>
  <c r="M21" i="20" l="1"/>
  <c r="M13" i="20"/>
  <c r="M14" i="20"/>
  <c r="L15" i="20"/>
  <c r="L19" i="20"/>
  <c r="L23" i="20" s="1"/>
  <c r="L24" i="20" s="1"/>
  <c r="N21" i="20"/>
  <c r="N13" i="20"/>
  <c r="N14" i="20"/>
  <c r="P11" i="18"/>
  <c r="P40" i="18" s="1"/>
  <c r="P26" i="18" s="1"/>
  <c r="Q6" i="18"/>
  <c r="Q8" i="18"/>
  <c r="Q3" i="18"/>
  <c r="Q28" i="18" s="1"/>
  <c r="G25" i="18"/>
  <c r="G27" i="18" s="1"/>
  <c r="G35" i="18" s="1"/>
  <c r="O12" i="18"/>
  <c r="O13" i="18" s="1"/>
  <c r="Q9" i="19"/>
  <c r="Q12" i="19" s="1"/>
  <c r="Q20" i="19"/>
  <c r="P9" i="18"/>
  <c r="P23" i="18"/>
  <c r="P24" i="18"/>
  <c r="O19" i="19"/>
  <c r="O23" i="19" s="1"/>
  <c r="O24" i="19" s="1"/>
  <c r="O15" i="19"/>
  <c r="P14" i="19"/>
  <c r="P21" i="19"/>
  <c r="P13" i="19"/>
  <c r="H16" i="18"/>
  <c r="H17" i="18" s="1"/>
  <c r="N21" i="15"/>
  <c r="N13" i="15"/>
  <c r="N14" i="15"/>
  <c r="M21" i="15"/>
  <c r="M13" i="15"/>
  <c r="M14" i="15"/>
  <c r="L19" i="15"/>
  <c r="L23" i="15" s="1"/>
  <c r="L24" i="15" s="1"/>
  <c r="L15" i="15"/>
  <c r="O14" i="14"/>
  <c r="O13" i="14"/>
  <c r="O21" i="14"/>
  <c r="N19" i="14"/>
  <c r="N23" i="14" s="1"/>
  <c r="N24" i="14" s="1"/>
  <c r="N15" i="14"/>
  <c r="P20" i="14"/>
  <c r="P9" i="14"/>
  <c r="P12" i="14" s="1"/>
  <c r="Q6" i="14"/>
  <c r="Q8" i="14"/>
  <c r="Q3" i="14"/>
  <c r="O11" i="13"/>
  <c r="O40" i="13" s="1"/>
  <c r="O26" i="13" s="1"/>
  <c r="O24" i="13"/>
  <c r="G44" i="13"/>
  <c r="G45" i="13" s="1"/>
  <c r="G46" i="13" s="1"/>
  <c r="G22" i="13" s="1"/>
  <c r="H14" i="13"/>
  <c r="H15" i="13" s="1"/>
  <c r="G31" i="13"/>
  <c r="G34" i="13" s="1"/>
  <c r="N12" i="13"/>
  <c r="N13" i="13" s="1"/>
  <c r="Q30" i="13"/>
  <c r="P6" i="13"/>
  <c r="P8" i="13"/>
  <c r="Q4" i="13"/>
  <c r="P3" i="13"/>
  <c r="P28" i="13" s="1"/>
  <c r="N41" i="13"/>
  <c r="Q32" i="13"/>
  <c r="O23" i="13"/>
  <c r="O9" i="13"/>
  <c r="M19" i="20" l="1"/>
  <c r="M23" i="20" s="1"/>
  <c r="M24" i="20" s="1"/>
  <c r="M15" i="20"/>
  <c r="P41" i="18"/>
  <c r="N19" i="20"/>
  <c r="N23" i="20" s="1"/>
  <c r="N24" i="20" s="1"/>
  <c r="N15" i="20"/>
  <c r="Q11" i="18"/>
  <c r="Q40" i="18" s="1"/>
  <c r="Q26" i="18"/>
  <c r="H39" i="18"/>
  <c r="H42" i="18" s="1"/>
  <c r="H18" i="18"/>
  <c r="H33" i="18"/>
  <c r="P15" i="19"/>
  <c r="P19" i="19"/>
  <c r="P23" i="19" s="1"/>
  <c r="P24" i="19" s="1"/>
  <c r="P12" i="18"/>
  <c r="P13" i="18" s="1"/>
  <c r="Q24" i="18"/>
  <c r="Q14" i="19"/>
  <c r="Q21" i="19"/>
  <c r="Q13" i="19"/>
  <c r="Q9" i="18"/>
  <c r="Q23" i="18"/>
  <c r="Q41" i="18" s="1"/>
  <c r="M19" i="15"/>
  <c r="M23" i="15" s="1"/>
  <c r="M24" i="15" s="1"/>
  <c r="M15" i="15"/>
  <c r="N19" i="15"/>
  <c r="N23" i="15" s="1"/>
  <c r="N24" i="15" s="1"/>
  <c r="N15" i="15"/>
  <c r="P13" i="14"/>
  <c r="P21" i="14"/>
  <c r="P14" i="14"/>
  <c r="Q9" i="14"/>
  <c r="Q12" i="14" s="1"/>
  <c r="Q20" i="14"/>
  <c r="O19" i="14"/>
  <c r="O23" i="14" s="1"/>
  <c r="O24" i="14" s="1"/>
  <c r="O15" i="14"/>
  <c r="P11" i="13"/>
  <c r="P40" i="13" s="1"/>
  <c r="P26" i="13" s="1"/>
  <c r="O12" i="13"/>
  <c r="O13" i="13" s="1"/>
  <c r="P24" i="13"/>
  <c r="H16" i="13"/>
  <c r="H17" i="13" s="1"/>
  <c r="G25" i="13"/>
  <c r="G27" i="13" s="1"/>
  <c r="G35" i="13" s="1"/>
  <c r="O41" i="13"/>
  <c r="Q6" i="13"/>
  <c r="Q8" i="13"/>
  <c r="Q3" i="13"/>
  <c r="Q28" i="13" s="1"/>
  <c r="P23" i="13"/>
  <c r="P9" i="13"/>
  <c r="C25" i="20" l="1"/>
  <c r="N25" i="20" s="1"/>
  <c r="M25" i="20"/>
  <c r="H29" i="18"/>
  <c r="Q19" i="19"/>
  <c r="Q23" i="19" s="1"/>
  <c r="Q24" i="19" s="1"/>
  <c r="Q15" i="19"/>
  <c r="Q12" i="18"/>
  <c r="Q13" i="18" s="1"/>
  <c r="P41" i="13"/>
  <c r="C25" i="15"/>
  <c r="M25" i="15" s="1"/>
  <c r="P19" i="14"/>
  <c r="P23" i="14" s="1"/>
  <c r="P24" i="14" s="1"/>
  <c r="P15" i="14"/>
  <c r="Q21" i="14"/>
  <c r="Q14" i="14"/>
  <c r="Q13" i="14"/>
  <c r="Q11" i="13"/>
  <c r="Q40" i="13" s="1"/>
  <c r="Q26" i="13" s="1"/>
  <c r="P12" i="13"/>
  <c r="P13" i="13" s="1"/>
  <c r="Q23" i="13"/>
  <c r="Q9" i="13"/>
  <c r="H18" i="13"/>
  <c r="H39" i="13"/>
  <c r="H42" i="13" s="1"/>
  <c r="H33" i="13"/>
  <c r="Q24" i="13"/>
  <c r="H25" i="20" l="1"/>
  <c r="F25" i="20"/>
  <c r="D25" i="20"/>
  <c r="G25" i="20"/>
  <c r="J25" i="20"/>
  <c r="E25" i="20"/>
  <c r="I25" i="20"/>
  <c r="K25" i="20"/>
  <c r="L25" i="20"/>
  <c r="H44" i="18"/>
  <c r="H45" i="18" s="1"/>
  <c r="H46" i="18" s="1"/>
  <c r="H22" i="18" s="1"/>
  <c r="I14" i="18"/>
  <c r="I15" i="18" s="1"/>
  <c r="H31" i="18"/>
  <c r="H34" i="18" s="1"/>
  <c r="D25" i="19"/>
  <c r="D25" i="15"/>
  <c r="E25" i="15"/>
  <c r="F25" i="15"/>
  <c r="G25" i="15"/>
  <c r="H25" i="15"/>
  <c r="I25" i="15"/>
  <c r="J25" i="15"/>
  <c r="K25" i="15"/>
  <c r="L25" i="15"/>
  <c r="N25" i="15"/>
  <c r="Q19" i="14"/>
  <c r="Q23" i="14" s="1"/>
  <c r="Q24" i="14" s="1"/>
  <c r="Q15" i="14"/>
  <c r="Q12" i="13"/>
  <c r="Q13" i="13" s="1"/>
  <c r="H29" i="13"/>
  <c r="Q41" i="13"/>
  <c r="I16" i="18" l="1"/>
  <c r="I17" i="18" s="1"/>
  <c r="G25" i="19"/>
  <c r="I25" i="19"/>
  <c r="H25" i="19"/>
  <c r="J25" i="19"/>
  <c r="K25" i="19"/>
  <c r="L25" i="19"/>
  <c r="M25" i="19"/>
  <c r="N25" i="19"/>
  <c r="O25" i="19"/>
  <c r="P25" i="19"/>
  <c r="Q25" i="19"/>
  <c r="H25" i="18"/>
  <c r="H27" i="18" s="1"/>
  <c r="H35" i="18" s="1"/>
  <c r="D25" i="14"/>
  <c r="H44" i="13"/>
  <c r="H45" i="13" s="1"/>
  <c r="H46" i="13" s="1"/>
  <c r="H22" i="13" s="1"/>
  <c r="I14" i="13"/>
  <c r="I15" i="13" s="1"/>
  <c r="H31" i="13"/>
  <c r="H34" i="13" s="1"/>
  <c r="I39" i="18" l="1"/>
  <c r="I42" i="18" s="1"/>
  <c r="I18" i="18"/>
  <c r="I33" i="18"/>
  <c r="G25" i="14"/>
  <c r="I25" i="14"/>
  <c r="H25" i="14"/>
  <c r="J25" i="14"/>
  <c r="K25" i="14"/>
  <c r="L25" i="14"/>
  <c r="M25" i="14"/>
  <c r="N25" i="14"/>
  <c r="O25" i="14"/>
  <c r="P25" i="14"/>
  <c r="Q25" i="14"/>
  <c r="I16" i="13"/>
  <c r="I17" i="13" s="1"/>
  <c r="H25" i="13"/>
  <c r="H27" i="13" s="1"/>
  <c r="H35" i="13" s="1"/>
  <c r="I29" i="18" l="1"/>
  <c r="I39" i="13"/>
  <c r="I42" i="13" s="1"/>
  <c r="I18" i="13"/>
  <c r="I33" i="13"/>
  <c r="I44" i="18" l="1"/>
  <c r="I45" i="18" s="1"/>
  <c r="I46" i="18" s="1"/>
  <c r="I22" i="18" s="1"/>
  <c r="J14" i="18"/>
  <c r="J15" i="18" s="1"/>
  <c r="I31" i="18"/>
  <c r="I34" i="18" s="1"/>
  <c r="I29" i="13"/>
  <c r="I25" i="18" l="1"/>
  <c r="I27" i="18" s="1"/>
  <c r="I35" i="18" s="1"/>
  <c r="J16" i="18"/>
  <c r="J17" i="18" s="1"/>
  <c r="I44" i="13"/>
  <c r="I45" i="13" s="1"/>
  <c r="I46" i="13" s="1"/>
  <c r="I22" i="13" s="1"/>
  <c r="J14" i="13"/>
  <c r="J15" i="13" s="1"/>
  <c r="I31" i="13"/>
  <c r="I34" i="13" s="1"/>
  <c r="J39" i="18" l="1"/>
  <c r="J42" i="18" s="1"/>
  <c r="J18" i="18"/>
  <c r="J33" i="18"/>
  <c r="J16" i="13"/>
  <c r="J17" i="13" s="1"/>
  <c r="I25" i="13"/>
  <c r="I27" i="13" s="1"/>
  <c r="I35" i="13" s="1"/>
  <c r="J29" i="18" l="1"/>
  <c r="J18" i="13"/>
  <c r="J39" i="13"/>
  <c r="J42" i="13" s="1"/>
  <c r="J33" i="13"/>
  <c r="J44" i="18" l="1"/>
  <c r="J45" i="18" s="1"/>
  <c r="J46" i="18" s="1"/>
  <c r="J22" i="18" s="1"/>
  <c r="J31" i="18"/>
  <c r="J34" i="18" s="1"/>
  <c r="K14" i="18"/>
  <c r="K15" i="18" s="1"/>
  <c r="J29" i="13"/>
  <c r="K16" i="18" l="1"/>
  <c r="K17" i="18" s="1"/>
  <c r="J25" i="18"/>
  <c r="J27" i="18" s="1"/>
  <c r="J35" i="18" s="1"/>
  <c r="J44" i="13"/>
  <c r="J45" i="13" s="1"/>
  <c r="J46" i="13" s="1"/>
  <c r="J22" i="13" s="1"/>
  <c r="K14" i="13"/>
  <c r="K15" i="13" s="1"/>
  <c r="J31" i="13"/>
  <c r="J34" i="13" s="1"/>
  <c r="K39" i="18" l="1"/>
  <c r="K42" i="18" s="1"/>
  <c r="K18" i="18"/>
  <c r="K33" i="18"/>
  <c r="K16" i="13"/>
  <c r="K17" i="13" s="1"/>
  <c r="J25" i="13"/>
  <c r="J27" i="13" s="1"/>
  <c r="J35" i="13" s="1"/>
  <c r="K29" i="18" l="1"/>
  <c r="K18" i="13"/>
  <c r="K39" i="13"/>
  <c r="K42" i="13" s="1"/>
  <c r="K33" i="13"/>
  <c r="K44" i="18" l="1"/>
  <c r="K45" i="18" s="1"/>
  <c r="K46" i="18" s="1"/>
  <c r="K22" i="18" s="1"/>
  <c r="L14" i="18"/>
  <c r="L15" i="18" s="1"/>
  <c r="K31" i="18"/>
  <c r="K34" i="18" s="1"/>
  <c r="K29" i="13"/>
  <c r="L16" i="18" l="1"/>
  <c r="L17" i="18" s="1"/>
  <c r="K25" i="18"/>
  <c r="K27" i="18" s="1"/>
  <c r="K35" i="18" s="1"/>
  <c r="K44" i="13"/>
  <c r="K45" i="13" s="1"/>
  <c r="K46" i="13" s="1"/>
  <c r="K22" i="13" s="1"/>
  <c r="K31" i="13"/>
  <c r="K34" i="13" s="1"/>
  <c r="L14" i="13"/>
  <c r="L15" i="13" s="1"/>
  <c r="L39" i="18" l="1"/>
  <c r="L42" i="18" s="1"/>
  <c r="L18" i="18"/>
  <c r="L33" i="18"/>
  <c r="K25" i="13"/>
  <c r="K27" i="13" s="1"/>
  <c r="K35" i="13" s="1"/>
  <c r="L16" i="13"/>
  <c r="L17" i="13" s="1"/>
  <c r="L29" i="18" l="1"/>
  <c r="L18" i="13"/>
  <c r="L39" i="13"/>
  <c r="L42" i="13" s="1"/>
  <c r="L33" i="13"/>
  <c r="L44" i="18" l="1"/>
  <c r="L45" i="18" s="1"/>
  <c r="L46" i="18" s="1"/>
  <c r="L22" i="18" s="1"/>
  <c r="M14" i="18"/>
  <c r="M15" i="18" s="1"/>
  <c r="L31" i="18"/>
  <c r="L34" i="18" s="1"/>
  <c r="L29" i="13"/>
  <c r="M16" i="18" l="1"/>
  <c r="M17" i="18" s="1"/>
  <c r="L25" i="18"/>
  <c r="L27" i="18" s="1"/>
  <c r="L35" i="18" s="1"/>
  <c r="L44" i="13"/>
  <c r="L45" i="13" s="1"/>
  <c r="L46" i="13" s="1"/>
  <c r="L22" i="13" s="1"/>
  <c r="M14" i="13"/>
  <c r="M15" i="13" s="1"/>
  <c r="L31" i="13"/>
  <c r="L34" i="13" s="1"/>
  <c r="M18" i="18" l="1"/>
  <c r="M39" i="18"/>
  <c r="M42" i="18" s="1"/>
  <c r="M33" i="18"/>
  <c r="M16" i="13"/>
  <c r="M17" i="13" s="1"/>
  <c r="L25" i="13"/>
  <c r="L27" i="13" s="1"/>
  <c r="L35" i="13" s="1"/>
  <c r="M29" i="18" l="1"/>
  <c r="M39" i="13"/>
  <c r="M42" i="13" s="1"/>
  <c r="M18" i="13"/>
  <c r="M33" i="13"/>
  <c r="M44" i="18" l="1"/>
  <c r="M45" i="18" s="1"/>
  <c r="M46" i="18" s="1"/>
  <c r="M22" i="18" s="1"/>
  <c r="N14" i="18"/>
  <c r="N15" i="18" s="1"/>
  <c r="M31" i="18"/>
  <c r="M34" i="18" s="1"/>
  <c r="M29" i="13"/>
  <c r="N16" i="18" l="1"/>
  <c r="N17" i="18" s="1"/>
  <c r="M25" i="18"/>
  <c r="M27" i="18" s="1"/>
  <c r="M35" i="18" s="1"/>
  <c r="M44" i="13"/>
  <c r="M45" i="13" s="1"/>
  <c r="M46" i="13" s="1"/>
  <c r="M22" i="13" s="1"/>
  <c r="N14" i="13"/>
  <c r="N15" i="13" s="1"/>
  <c r="M31" i="13"/>
  <c r="M34" i="13" s="1"/>
  <c r="N39" i="18" l="1"/>
  <c r="N42" i="18" s="1"/>
  <c r="N18" i="18"/>
  <c r="N33" i="18"/>
  <c r="N16" i="13"/>
  <c r="N17" i="13" s="1"/>
  <c r="M25" i="13"/>
  <c r="M27" i="13" s="1"/>
  <c r="M35" i="13" s="1"/>
  <c r="N29" i="18" l="1"/>
  <c r="N18" i="13"/>
  <c r="N39" i="13"/>
  <c r="N42" i="13" s="1"/>
  <c r="N33" i="13"/>
  <c r="N44" i="18" l="1"/>
  <c r="N45" i="18" s="1"/>
  <c r="N46" i="18" s="1"/>
  <c r="N22" i="18" s="1"/>
  <c r="O14" i="18"/>
  <c r="O15" i="18" s="1"/>
  <c r="N31" i="18"/>
  <c r="N34" i="18" s="1"/>
  <c r="N29" i="13"/>
  <c r="O16" i="18" l="1"/>
  <c r="O17" i="18" s="1"/>
  <c r="N25" i="18"/>
  <c r="N27" i="18" s="1"/>
  <c r="N35" i="18" s="1"/>
  <c r="N44" i="13"/>
  <c r="N45" i="13" s="1"/>
  <c r="N46" i="13" s="1"/>
  <c r="N22" i="13" s="1"/>
  <c r="O14" i="13"/>
  <c r="O15" i="13" s="1"/>
  <c r="N31" i="13"/>
  <c r="N34" i="13" s="1"/>
  <c r="O39" i="18" l="1"/>
  <c r="O42" i="18" s="1"/>
  <c r="O18" i="18"/>
  <c r="O33" i="18"/>
  <c r="O16" i="13"/>
  <c r="O17" i="13" s="1"/>
  <c r="N25" i="13"/>
  <c r="N27" i="13" s="1"/>
  <c r="N35" i="13" s="1"/>
  <c r="O29" i="18" l="1"/>
  <c r="O18" i="13"/>
  <c r="O39" i="13"/>
  <c r="O42" i="13" s="1"/>
  <c r="O33" i="13"/>
  <c r="O44" i="18" l="1"/>
  <c r="O45" i="18" s="1"/>
  <c r="O46" i="18" s="1"/>
  <c r="O22" i="18" s="1"/>
  <c r="O31" i="18"/>
  <c r="O34" i="18" s="1"/>
  <c r="P14" i="18"/>
  <c r="P15" i="18" s="1"/>
  <c r="O29" i="13"/>
  <c r="P16" i="18" l="1"/>
  <c r="P17" i="18" s="1"/>
  <c r="O25" i="18"/>
  <c r="O27" i="18" s="1"/>
  <c r="O35" i="18" s="1"/>
  <c r="O44" i="13"/>
  <c r="O45" i="13" s="1"/>
  <c r="O46" i="13" s="1"/>
  <c r="O22" i="13" s="1"/>
  <c r="P14" i="13"/>
  <c r="P15" i="13" s="1"/>
  <c r="O31" i="13"/>
  <c r="O34" i="13" s="1"/>
  <c r="P39" i="18" l="1"/>
  <c r="P42" i="18" s="1"/>
  <c r="P18" i="18"/>
  <c r="P33" i="18"/>
  <c r="P16" i="13"/>
  <c r="P17" i="13" s="1"/>
  <c r="O25" i="13"/>
  <c r="O27" i="13" s="1"/>
  <c r="O35" i="13" s="1"/>
  <c r="P29" i="18" l="1"/>
  <c r="P18" i="13"/>
  <c r="P39" i="13"/>
  <c r="P42" i="13" s="1"/>
  <c r="P33" i="13"/>
  <c r="P44" i="18" l="1"/>
  <c r="P45" i="18" s="1"/>
  <c r="P46" i="18" s="1"/>
  <c r="P22" i="18" s="1"/>
  <c r="Q14" i="18"/>
  <c r="Q15" i="18" s="1"/>
  <c r="P31" i="18"/>
  <c r="P34" i="18" s="1"/>
  <c r="P29" i="13"/>
  <c r="Q16" i="18" l="1"/>
  <c r="Q17" i="18"/>
  <c r="P25" i="18"/>
  <c r="P27" i="18" s="1"/>
  <c r="P35" i="18" s="1"/>
  <c r="P44" i="13"/>
  <c r="P45" i="13" s="1"/>
  <c r="P46" i="13" s="1"/>
  <c r="P22" i="13" s="1"/>
  <c r="Q14" i="13"/>
  <c r="Q15" i="13" s="1"/>
  <c r="P31" i="13"/>
  <c r="P34" i="13" s="1"/>
  <c r="Q39" i="18" l="1"/>
  <c r="Q42" i="18" s="1"/>
  <c r="Q18" i="18"/>
  <c r="Q33" i="18"/>
  <c r="Q16" i="13"/>
  <c r="Q17" i="13" s="1"/>
  <c r="P25" i="13"/>
  <c r="P27" i="13" s="1"/>
  <c r="P35" i="13" s="1"/>
  <c r="Q29" i="18" l="1"/>
  <c r="Q39" i="13"/>
  <c r="Q42" i="13" s="1"/>
  <c r="Q18" i="13"/>
  <c r="Q33" i="13"/>
  <c r="Q44" i="18" l="1"/>
  <c r="Q45" i="18" s="1"/>
  <c r="Q46" i="18" s="1"/>
  <c r="Q22" i="18" s="1"/>
  <c r="Q25" i="18" s="1"/>
  <c r="Q27" i="18" s="1"/>
  <c r="Q31" i="18"/>
  <c r="Q34" i="18" s="1"/>
  <c r="Q29" i="13"/>
  <c r="Q35" i="18" l="1"/>
  <c r="Q44" i="13"/>
  <c r="Q45" i="13" s="1"/>
  <c r="Q46" i="13" s="1"/>
  <c r="Q22" i="13" s="1"/>
  <c r="Q25" i="13" s="1"/>
  <c r="Q27" i="13" s="1"/>
  <c r="Q31" i="13"/>
  <c r="Q34" i="13" s="1"/>
  <c r="Q35" i="13" l="1"/>
</calcChain>
</file>

<file path=xl/sharedStrings.xml><?xml version="1.0" encoding="utf-8"?>
<sst xmlns="http://schemas.openxmlformats.org/spreadsheetml/2006/main" count="283" uniqueCount="141">
  <si>
    <t>Income Statement [$M]</t>
  </si>
  <si>
    <t>Assumptions</t>
  </si>
  <si>
    <t>Volume Produced [1000]</t>
  </si>
  <si>
    <t>Volume sold [1000]</t>
  </si>
  <si>
    <t>LT interest rate</t>
  </si>
  <si>
    <t>Average price [$]</t>
  </si>
  <si>
    <t>ST interest rate</t>
  </si>
  <si>
    <t>Net sales</t>
  </si>
  <si>
    <t>Tax rate</t>
  </si>
  <si>
    <t>Unitary COGS [$]</t>
  </si>
  <si>
    <t>Min. cash balance</t>
  </si>
  <si>
    <t>Cost of goods sold</t>
  </si>
  <si>
    <t>Gross profit</t>
  </si>
  <si>
    <t>Operating expenses</t>
  </si>
  <si>
    <t>Depreciation</t>
  </si>
  <si>
    <t>EBIT</t>
  </si>
  <si>
    <t>Interest expense</t>
  </si>
  <si>
    <t>EBT</t>
  </si>
  <si>
    <t>Income taxes</t>
  </si>
  <si>
    <t>Net Profit</t>
  </si>
  <si>
    <t>Balance Sheet [$M]</t>
  </si>
  <si>
    <t>Cash</t>
  </si>
  <si>
    <t>Accounts receivable</t>
  </si>
  <si>
    <t>Inventory</t>
  </si>
  <si>
    <t>Current assets</t>
  </si>
  <si>
    <t>Net plant and equipment</t>
  </si>
  <si>
    <t>Total assets</t>
  </si>
  <si>
    <t>Accounts payable</t>
  </si>
  <si>
    <t>Notes payable, bank</t>
  </si>
  <si>
    <t>Long-term debt, current portion</t>
  </si>
  <si>
    <t>Current liabilities</t>
  </si>
  <si>
    <t>Long-term debt</t>
  </si>
  <si>
    <t>Shareholders' equity</t>
  </si>
  <si>
    <t>Total liabilities and equity</t>
  </si>
  <si>
    <t>Cash Flow Statement [$M]</t>
  </si>
  <si>
    <t>(-) Depreciation</t>
  </si>
  <si>
    <t>(+) ΔNWC</t>
  </si>
  <si>
    <t>(=) Cash flow from Operations</t>
  </si>
  <si>
    <t>(+) Investing CF</t>
  </si>
  <si>
    <t>(+) Financing CF</t>
  </si>
  <si>
    <t>Cash Flow</t>
  </si>
  <si>
    <t>End cash balance</t>
  </si>
  <si>
    <t>[$M]</t>
  </si>
  <si>
    <t>ΔNWC / Δ Revenue</t>
  </si>
  <si>
    <t>WACC [%]</t>
  </si>
  <si>
    <t>Perpetuity Growth [%]</t>
  </si>
  <si>
    <t>EBITDA</t>
  </si>
  <si>
    <t>TV</t>
  </si>
  <si>
    <t>(+) Taxes</t>
  </si>
  <si>
    <t>(+) CAPEX</t>
  </si>
  <si>
    <t>(=) FCF</t>
  </si>
  <si>
    <t>DCF</t>
  </si>
  <si>
    <t>NPV</t>
  </si>
  <si>
    <t>The add-in will be executed automatically everytime Excel starts, and it can be easily removed afterwards.</t>
  </si>
  <si>
    <t>This procedure will install NEAT.xlam in your default add-in folder.</t>
  </si>
  <si>
    <t>Name:</t>
  </si>
  <si>
    <t>PLEASE ENABLE MACROS BEFORE MOVING FORWARD</t>
  </si>
  <si>
    <t>Checkv:</t>
  </si>
  <si>
    <t>Installer:</t>
  </si>
  <si>
    <t>NEAT.XLAM</t>
  </si>
  <si>
    <t>The ribbon:</t>
  </si>
  <si>
    <t>The functions:</t>
  </si>
  <si>
    <t>YYMMDD</t>
  </si>
  <si>
    <r>
      <t>Today's date</t>
    </r>
    <r>
      <rPr>
        <sz val="18"/>
        <color rgb="FF0043C8"/>
        <rFont val="Arial"/>
        <family val="2"/>
      </rPr>
      <t xml:space="preserve"> (example: February 22, 2017 = 170222)</t>
    </r>
  </si>
  <si>
    <t>FILE.NAME</t>
  </si>
  <si>
    <t>Workbook name</t>
  </si>
  <si>
    <t>vX.Y</t>
  </si>
  <si>
    <t>X: Version / Y: Sub-version</t>
  </si>
  <si>
    <t>AB</t>
  </si>
  <si>
    <t>Your unique initials</t>
  </si>
  <si>
    <r>
      <rPr>
        <sz val="16"/>
        <color rgb="FF404040"/>
        <rFont val="Arial"/>
        <family val="2"/>
      </rPr>
      <t xml:space="preserve">● </t>
    </r>
    <r>
      <rPr>
        <sz val="16"/>
        <color rgb="FF404040"/>
        <rFont val="Arial"/>
        <family val="2"/>
      </rPr>
      <t>New Version</t>
    </r>
  </si>
  <si>
    <t>Saves current workbook as a new file, upgrading Sub-version and updating date and initials</t>
  </si>
  <si>
    <t>● A1 Version</t>
  </si>
  <si>
    <r>
      <t xml:space="preserve">Executes New Version setting </t>
    </r>
    <r>
      <rPr>
        <b/>
        <sz val="16"/>
        <color rgb="FF404040"/>
        <rFont val="Arial"/>
        <family val="2"/>
      </rPr>
      <t>A1</t>
    </r>
    <r>
      <rPr>
        <sz val="16"/>
        <color rgb="FF404040"/>
        <rFont val="Arial"/>
        <family val="2"/>
      </rPr>
      <t xml:space="preserve"> as the active cell in all sheets</t>
    </r>
  </si>
  <si>
    <t>● Jump Version</t>
  </si>
  <si>
    <t>Saves current workbook as a new file, upgrading Version and updating date and initials</t>
  </si>
  <si>
    <t>● User Initials</t>
  </si>
  <si>
    <t>Modifies initials</t>
  </si>
  <si>
    <t>● Worksheet Zoom</t>
  </si>
  <si>
    <t>Defines zoom level to all sheets in the workbook and sets the default zoom level for other functions</t>
  </si>
  <si>
    <t>● Hide Sheet</t>
  </si>
  <si>
    <t>Hides active sheets (not visible to the regular Excel unhide function).</t>
  </si>
  <si>
    <t>● Unhide Sheets</t>
  </si>
  <si>
    <t>Unhides all hidden sheets in the workbook</t>
  </si>
  <si>
    <t>● Hide/Unhide Headers</t>
  </si>
  <si>
    <t>Hide (unhide) formula bar and headers</t>
  </si>
  <si>
    <t>● Duplicate Windows</t>
  </si>
  <si>
    <t>Dual window view</t>
  </si>
  <si>
    <t>● Insert Sheet</t>
  </si>
  <si>
    <t>Inserts new sheet with no gridlines and default zoom level</t>
  </si>
  <si>
    <t>● NEAT Templates</t>
  </si>
  <si>
    <t>Useful templates</t>
  </si>
  <si>
    <t>● Invert Columns</t>
  </si>
  <si>
    <t>Useful to organize financial statements</t>
  </si>
  <si>
    <t>TRY IT</t>
  </si>
  <si>
    <r>
      <t xml:space="preserve">Warning: this function will preserve </t>
    </r>
    <r>
      <rPr>
        <b/>
        <sz val="16"/>
        <color rgb="FFFF0000"/>
        <rFont val="Arial"/>
        <family val="2"/>
      </rPr>
      <t>VALUES</t>
    </r>
    <r>
      <rPr>
        <sz val="16"/>
        <color rgb="FF262626"/>
        <rFont val="Arial"/>
        <family val="2"/>
      </rPr>
      <t xml:space="preserve"> rather than </t>
    </r>
    <r>
      <rPr>
        <b/>
        <sz val="16"/>
        <color rgb="FFFF0000"/>
        <rFont val="Arial"/>
        <family val="2"/>
      </rPr>
      <t>FORMULAS</t>
    </r>
  </si>
  <si>
    <t>Revenue</t>
  </si>
  <si>
    <t>Costs</t>
  </si>
  <si>
    <t>Profits</t>
  </si>
  <si>
    <t>● Reset Last Cell</t>
  </si>
  <si>
    <r>
      <t xml:space="preserve">Saves 15MB when Excel thinks </t>
    </r>
    <r>
      <rPr>
        <b/>
        <sz val="16"/>
        <color rgb="FF0066FF"/>
        <rFont val="Arial"/>
        <family val="2"/>
      </rPr>
      <t>XFD1048576</t>
    </r>
    <r>
      <rPr>
        <sz val="16"/>
        <rFont val="Arial"/>
        <family val="2"/>
      </rPr>
      <t xml:space="preserve"> is actually the farthest bottom-right cell in your sheet</t>
    </r>
  </si>
  <si>
    <t>● Hide Errors</t>
  </si>
  <si>
    <t>Puts the formulas inside IFERROR for the whole selected range</t>
  </si>
  <si>
    <t>● Paste Inputs</t>
  </si>
  <si>
    <r>
      <t xml:space="preserve">Transforms formulas in values and sets the </t>
    </r>
    <r>
      <rPr>
        <b/>
        <sz val="16"/>
        <color rgb="FF0043C8"/>
        <rFont val="Arial"/>
        <family val="2"/>
      </rPr>
      <t>Input</t>
    </r>
    <r>
      <rPr>
        <sz val="16"/>
        <color rgb="FF262626"/>
        <rFont val="Arial"/>
        <family val="2"/>
      </rPr>
      <t xml:space="preserve"> style to the selected cells (if available)</t>
    </r>
  </si>
  <si>
    <t>● Center Across</t>
  </si>
  <si>
    <t>No more merging titles</t>
  </si>
  <si>
    <t>Try here (select all red cells)</t>
  </si>
  <si>
    <t>● Stamp</t>
  </si>
  <si>
    <t>Time / Date stamps</t>
  </si>
  <si>
    <t>● Add/Remove Decimal</t>
  </si>
  <si>
    <t>● Multiply by Range</t>
  </si>
  <si>
    <t>● Opposite</t>
  </si>
  <si>
    <t>START HERE</t>
  </si>
  <si>
    <t>MULTIPLIER</t>
  </si>
  <si>
    <t>● Percentage</t>
  </si>
  <si>
    <t>● Multiply by 1000</t>
  </si>
  <si>
    <t>● Divide by 1000</t>
  </si>
  <si>
    <t>● Trace All Precedents</t>
  </si>
  <si>
    <t>X</t>
  </si>
  <si>
    <t>● Trace All Dependents</t>
  </si>
  <si>
    <t>● Remove All Arrows</t>
  </si>
  <si>
    <t>● Insert Clean</t>
  </si>
  <si>
    <t>Rows</t>
  </si>
  <si>
    <t>Col 1</t>
  </si>
  <si>
    <t>Col 2</t>
  </si>
  <si>
    <t>Col 3</t>
  </si>
  <si>
    <t>Col 4</t>
  </si>
  <si>
    <t>Row 1</t>
  </si>
  <si>
    <t>Row 2</t>
  </si>
  <si>
    <t>Row 3</t>
  </si>
  <si>
    <t>● Clean Format</t>
  </si>
  <si>
    <t>Neatly formats your Pivot Table</t>
  </si>
  <si>
    <t>● Add All Fields</t>
  </si>
  <si>
    <t>Adds all available fields as Columns in the selected Pivot Table</t>
  </si>
  <si>
    <t>● Convert to Sum</t>
  </si>
  <si>
    <t>Converts selected fields to Sum</t>
  </si>
  <si>
    <t>For more information visit us at</t>
  </si>
  <si>
    <t>www.neataddin.com</t>
  </si>
  <si>
    <t>or reach us at</t>
  </si>
  <si>
    <t>contact@neataddin.com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</si>
</sst>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#,##0;\(#,##0\);&quot;-&quot;"/>
    <numFmt numFmtId="169" formatCode="0%;\(0%\);\-"/>
    <numFmt numFmtId="170" formatCode="#,##0,;\(#,##0,\);&quot;-&quot;"/>
    <numFmt numFmtId="171" formatCode="#,##0.0000"/>
    <numFmt numFmtId="172" formatCode="\+0;\-0;\-"/>
  </numFmts>
  <fonts count="56" x14ac:knownFonts="1">
    <font>
      <sz val="11"/>
      <color theme="1"/>
      <name val="Arial"/>
      <family val="2"/>
    </font>
    <font>
      <sz val="11"/>
      <color theme="1"/>
      <name val="Arial"/>
      <family val="2"/>
      <scheme val="minor"/>
    </font>
    <font>
      <sz val="10"/>
      <color theme="1"/>
      <name val="Arial"/>
      <family val="2"/>
    </font>
    <font>
      <sz val="18"/>
      <color theme="3"/>
      <name val="Arial"/>
      <family val="2"/>
      <scheme val="major"/>
    </font>
    <font>
      <b/>
      <sz val="15"/>
      <color theme="3"/>
      <name val="Arial"/>
      <family val="2"/>
      <scheme val="minor"/>
    </font>
    <font>
      <b/>
      <sz val="13"/>
      <color theme="3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rgb="FF9C6500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rgb="FFFF0000"/>
      <name val="Arial"/>
      <family val="2"/>
      <scheme val="minor"/>
    </font>
    <font>
      <i/>
      <sz val="11"/>
      <color rgb="FF7F7F7F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sz val="11"/>
      <name val="Arial"/>
      <family val="2"/>
      <scheme val="minor"/>
    </font>
    <font>
      <sz val="11"/>
      <name val="Arial"/>
      <family val="2"/>
    </font>
    <font>
      <sz val="10"/>
      <name val="Arial"/>
      <family val="2"/>
    </font>
    <font>
      <b/>
      <sz val="11"/>
      <color theme="8"/>
      <name val="Arial"/>
      <family val="2"/>
      <scheme val="minor"/>
    </font>
    <font>
      <i/>
      <sz val="11"/>
      <color rgb="FF7F7F7F"/>
      <name val="Arial"/>
      <family val="2"/>
    </font>
    <font>
      <sz val="11"/>
      <color rgb="FFFF0000"/>
      <name val="Arial"/>
      <family val="2"/>
    </font>
    <font>
      <b/>
      <sz val="14"/>
      <color theme="1"/>
      <name val="Arial"/>
      <family val="2"/>
      <scheme val="minor"/>
    </font>
    <font>
      <b/>
      <sz val="11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0043C8"/>
      <name val="Arial"/>
      <family val="2"/>
    </font>
    <font>
      <sz val="11"/>
      <color theme="1" tint="0.14999847407452621"/>
      <name val="Arial"/>
      <family val="2"/>
      <scheme val="minor"/>
    </font>
    <font>
      <sz val="10"/>
      <color theme="2" tint="-0.749992370372631"/>
      <name val="Arial"/>
      <family val="2"/>
      <scheme val="minor"/>
    </font>
    <font>
      <u/>
      <sz val="11"/>
      <color theme="10"/>
      <name val="Arial"/>
      <family val="2"/>
      <scheme val="minor"/>
    </font>
    <font>
      <u/>
      <sz val="11"/>
      <color theme="10"/>
      <name val="Arial"/>
      <family val="2"/>
    </font>
    <font>
      <u/>
      <sz val="11"/>
      <color theme="11"/>
      <name val="Arial"/>
      <family val="2"/>
    </font>
    <font>
      <sz val="5"/>
      <color theme="1"/>
      <name val="Arial"/>
      <family val="2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sz val="11"/>
      <color rgb="FF262626"/>
      <name val="Arial"/>
      <family val="2"/>
    </font>
    <font>
      <b/>
      <sz val="16"/>
      <color rgb="FF262626"/>
      <name val="Arial"/>
      <family val="2"/>
    </font>
    <font>
      <sz val="16"/>
      <color rgb="FF262626"/>
      <name val="Arial"/>
      <family val="2"/>
    </font>
    <font>
      <sz val="24"/>
      <color rgb="FF262626"/>
      <name val="Arial"/>
      <family val="2"/>
    </font>
    <font>
      <sz val="18"/>
      <color rgb="FF0043C8"/>
      <name val="Arial"/>
      <family val="2"/>
    </font>
    <font>
      <b/>
      <sz val="16"/>
      <color rgb="FF404040"/>
      <name val="Arial"/>
      <family val="2"/>
    </font>
    <font>
      <sz val="16"/>
      <color rgb="FF404040"/>
      <name val="Arial"/>
      <family val="2"/>
    </font>
    <font>
      <b/>
      <sz val="16"/>
      <color rgb="FF000000"/>
      <name val="Arial"/>
      <family val="2"/>
    </font>
    <font>
      <b/>
      <sz val="14"/>
      <color rgb="FFFF0000"/>
      <name val="Arial"/>
      <family val="2"/>
    </font>
    <font>
      <sz val="16"/>
      <color rgb="FFFF0000"/>
      <name val="Arial"/>
      <family val="2"/>
    </font>
    <font>
      <b/>
      <sz val="16"/>
      <color rgb="FFFF0000"/>
      <name val="Arial"/>
      <family val="2"/>
    </font>
    <font>
      <sz val="14"/>
      <color rgb="FFFF0000"/>
      <name val="Arial"/>
      <family val="2"/>
    </font>
    <font>
      <sz val="16"/>
      <color rgb="FF000000"/>
      <name val="Arial"/>
      <family val="2"/>
    </font>
    <font>
      <b/>
      <sz val="16"/>
      <color rgb="FF0066FF"/>
      <name val="Arial"/>
      <family val="2"/>
    </font>
    <font>
      <sz val="16"/>
      <name val="Arial"/>
      <family val="2"/>
    </font>
    <font>
      <b/>
      <sz val="16"/>
      <color rgb="FF0043C8"/>
      <name val="Arial"/>
      <family val="2"/>
    </font>
    <font>
      <sz val="11"/>
      <color rgb="FF404040"/>
      <name val="Arial"/>
      <family val="2"/>
    </font>
    <font>
      <b/>
      <sz val="14"/>
      <color rgb="FF262626"/>
      <name val="Arial"/>
      <family val="2"/>
    </font>
    <font>
      <b/>
      <u/>
      <sz val="14"/>
      <color rgb="FF0563C1"/>
      <name val="Arial"/>
      <family val="2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mediumGray">
        <fgColor theme="8"/>
        <bgColor auto="1"/>
      </patternFill>
    </fill>
    <fill>
      <patternFill patternType="gray125">
        <fgColor theme="0"/>
        <bgColor theme="0" tint="-0.24994659260841701"/>
      </patternFill>
    </fill>
    <fill>
      <patternFill patternType="gray0625">
        <fgColor theme="0"/>
        <bgColor theme="0" tint="-0.24994659260841701"/>
      </patternFill>
    </fill>
    <fill>
      <patternFill patternType="darkTrellis">
        <fgColor theme="0"/>
        <bgColor theme="8"/>
      </patternFill>
    </fill>
    <fill>
      <patternFill patternType="solid">
        <fgColor rgb="FFFFFFFF"/>
        <bgColor rgb="FFFFFFFF"/>
      </patternFill>
    </fill>
    <fill>
      <patternFill patternType="solid">
        <fgColor rgb="FFF2F2F2"/>
        <bgColor rgb="FFF2F2F2"/>
      </patternFill>
    </fill>
    <fill>
      <patternFill patternType="solid">
        <fgColor rgb="FFE2EAF3"/>
        <bgColor rgb="FFE2EAF3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DE3EE"/>
        <bgColor rgb="FF000000"/>
      </patternFill>
    </fill>
  </fills>
  <borders count="4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8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mediumDashed">
        <color rgb="FFFF0000"/>
      </left>
      <right/>
      <top style="mediumDashed">
        <color rgb="FFFF0000"/>
      </top>
      <bottom style="thin">
        <color indexed="64"/>
      </bottom>
      <diagonal/>
    </border>
    <border>
      <left/>
      <right/>
      <top style="mediumDashed">
        <color rgb="FFFF0000"/>
      </top>
      <bottom style="thin">
        <color indexed="64"/>
      </bottom>
      <diagonal/>
    </border>
    <border>
      <left/>
      <right style="mediumDashed">
        <color rgb="FFFF0000"/>
      </right>
      <top style="mediumDashed">
        <color rgb="FFFF0000"/>
      </top>
      <bottom style="thin">
        <color indexed="64"/>
      </bottom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 style="thin">
        <color indexed="64"/>
      </top>
      <bottom style="mediumDashed">
        <color rgb="FFFF0000"/>
      </bottom>
      <diagonal/>
    </border>
    <border>
      <left/>
      <right/>
      <top style="thin">
        <color indexed="64"/>
      </top>
      <bottom style="mediumDashed">
        <color rgb="FFFF0000"/>
      </bottom>
      <diagonal/>
    </border>
    <border>
      <left/>
      <right style="mediumDashed">
        <color rgb="FFFF0000"/>
      </right>
      <top style="thin">
        <color indexed="64"/>
      </top>
      <bottom style="mediumDashed">
        <color rgb="FFFF0000"/>
      </bottom>
      <diagonal/>
    </border>
    <border>
      <left style="mediumDashed">
        <color rgb="FFFF0000"/>
      </left>
      <right/>
      <top style="mediumDashed">
        <color rgb="FFFF0000"/>
      </top>
      <bottom style="mediumDashed">
        <color rgb="FFFF0000"/>
      </bottom>
      <diagonal/>
    </border>
    <border>
      <left/>
      <right/>
      <top style="mediumDashed">
        <color rgb="FFFF0000"/>
      </top>
      <bottom style="mediumDashed">
        <color rgb="FFFF0000"/>
      </bottom>
      <diagonal/>
    </border>
    <border>
      <left/>
      <right style="mediumDashed">
        <color rgb="FFFF0000"/>
      </right>
      <top style="mediumDashed">
        <color rgb="FFFF0000"/>
      </top>
      <bottom style="mediumDashed">
        <color rgb="FFFF0000"/>
      </bottom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 style="mediumDashed">
        <color rgb="FFFF0000"/>
      </left>
      <right style="mediumDashed">
        <color rgb="FFFF0000"/>
      </right>
      <top style="mediumDashed">
        <color rgb="FFFF0000"/>
      </top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 style="mediumDashed">
        <color rgb="FFFF0000"/>
      </top>
      <bottom/>
      <diagonal/>
    </border>
    <border>
      <left/>
      <right/>
      <top/>
      <bottom style="mediumDashed">
        <color rgb="FFFF0000"/>
      </bottom>
      <diagonal/>
    </border>
  </borders>
  <cellStyleXfs count="57">
    <xf numFmtId="0" fontId="0" fillId="0" borderId="0" applyNumberFormat="0" applyFont="0" applyFill="0" applyBorder="0" applyAlignment="0" applyProtection="0">
      <alignment vertical="center"/>
    </xf>
    <xf numFmtId="167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8" fillId="32" borderId="0" applyNumberFormat="0" applyBorder="0" applyAlignment="0" applyProtection="0"/>
    <xf numFmtId="0" fontId="17" fillId="40" borderId="0" applyNumberFormat="0" applyFont="0" applyAlignment="0">
      <protection locked="0"/>
    </xf>
    <xf numFmtId="0" fontId="25" fillId="0" borderId="0" applyNumberFormat="0" applyFill="0" applyBorder="0" applyAlignment="0" applyProtection="0"/>
    <xf numFmtId="0" fontId="22" fillId="34" borderId="10" applyNumberFormat="0" applyAlignment="0" applyProtection="0"/>
    <xf numFmtId="0" fontId="15" fillId="0" borderId="0" applyNumberFormat="0" applyFill="0" applyBorder="0" applyAlignment="0" applyProtection="0"/>
    <xf numFmtId="0" fontId="19" fillId="37" borderId="0" applyNumberFormat="0" applyBorder="0" applyAlignment="0" applyProtection="0"/>
    <xf numFmtId="0" fontId="19" fillId="35" borderId="0" applyNumberFormat="0" applyBorder="0" applyAlignment="0" applyProtection="0"/>
    <xf numFmtId="0" fontId="19" fillId="36" borderId="0" applyNumberFormat="0" applyBorder="0" applyAlignment="0" applyProtection="0"/>
    <xf numFmtId="0" fontId="31" fillId="33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</cellStyleXfs>
  <cellXfs count="140">
    <xf numFmtId="0" fontId="0" fillId="0" borderId="0" xfId="0">
      <alignment vertical="center"/>
    </xf>
    <xf numFmtId="0" fontId="0" fillId="38" borderId="0" xfId="0" applyFont="1" applyFill="1" applyBorder="1" applyAlignment="1">
      <alignment vertical="center"/>
    </xf>
    <xf numFmtId="0" fontId="0" fillId="38" borderId="0" xfId="0" applyFont="1" applyFill="1" applyBorder="1" applyAlignment="1">
      <alignment horizontal="center" vertical="center"/>
    </xf>
    <xf numFmtId="170" fontId="0" fillId="38" borderId="0" xfId="0" applyNumberFormat="1" applyFont="1" applyFill="1" applyBorder="1" applyAlignment="1">
      <alignment vertical="center"/>
    </xf>
    <xf numFmtId="0" fontId="23" fillId="38" borderId="0" xfId="0" applyFont="1" applyFill="1" applyBorder="1" applyAlignment="1">
      <alignment vertical="center"/>
    </xf>
    <xf numFmtId="9" fontId="23" fillId="38" borderId="0" xfId="0" applyNumberFormat="1" applyFont="1" applyFill="1" applyBorder="1" applyAlignment="1">
      <alignment horizontal="right"/>
    </xf>
    <xf numFmtId="0" fontId="0" fillId="38" borderId="0" xfId="0" applyFont="1" applyFill="1" applyBorder="1" applyAlignment="1">
      <alignment horizontal="right" vertical="center"/>
    </xf>
    <xf numFmtId="0" fontId="20" fillId="38" borderId="0" xfId="0" applyFont="1" applyFill="1" applyBorder="1" applyAlignment="1">
      <alignment horizontal="left" vertical="center"/>
    </xf>
    <xf numFmtId="170" fontId="20" fillId="38" borderId="0" xfId="0" applyNumberFormat="1" applyFont="1" applyFill="1" applyBorder="1" applyAlignment="1">
      <alignment vertical="center"/>
    </xf>
    <xf numFmtId="0" fontId="21" fillId="38" borderId="0" xfId="0" applyFont="1" applyFill="1" applyBorder="1" applyAlignment="1">
      <alignment horizontal="left" vertical="center"/>
    </xf>
    <xf numFmtId="170" fontId="24" fillId="38" borderId="0" xfId="0" applyNumberFormat="1" applyFont="1" applyFill="1" applyBorder="1" applyAlignment="1">
      <alignment vertical="center"/>
    </xf>
    <xf numFmtId="168" fontId="0" fillId="38" borderId="0" xfId="0" applyNumberFormat="1" applyFont="1" applyFill="1" applyBorder="1" applyAlignment="1">
      <alignment vertical="center"/>
    </xf>
    <xf numFmtId="0" fontId="27" fillId="38" borderId="0" xfId="0" applyFont="1" applyFill="1" applyBorder="1" applyAlignment="1">
      <alignment horizontal="left"/>
    </xf>
    <xf numFmtId="0" fontId="26" fillId="38" borderId="11" xfId="0" applyFont="1" applyFill="1" applyBorder="1" applyAlignment="1">
      <alignment horizontal="left"/>
    </xf>
    <xf numFmtId="0" fontId="26" fillId="39" borderId="11" xfId="0" applyFont="1" applyFill="1" applyBorder="1" applyAlignment="1">
      <alignment horizontal="right" vertical="center" wrapText="1"/>
    </xf>
    <xf numFmtId="0" fontId="26" fillId="38" borderId="11" xfId="0" applyFont="1" applyFill="1" applyBorder="1" applyAlignment="1">
      <alignment horizontal="right" vertical="center" wrapText="1"/>
    </xf>
    <xf numFmtId="168" fontId="28" fillId="38" borderId="0" xfId="0" applyNumberFormat="1" applyFont="1" applyFill="1" applyBorder="1" applyAlignment="1">
      <alignment vertical="center"/>
    </xf>
    <xf numFmtId="169" fontId="28" fillId="38" borderId="0" xfId="0" applyNumberFormat="1" applyFont="1" applyFill="1" applyBorder="1" applyAlignment="1">
      <alignment horizontal="center" vertical="center"/>
    </xf>
    <xf numFmtId="170" fontId="28" fillId="38" borderId="0" xfId="0" applyNumberFormat="1" applyFont="1" applyFill="1" applyBorder="1" applyAlignment="1">
      <alignment horizontal="center" vertical="center"/>
    </xf>
    <xf numFmtId="170" fontId="28" fillId="38" borderId="0" xfId="0" applyNumberFormat="1" applyFont="1" applyFill="1" applyBorder="1" applyAlignment="1">
      <alignment vertical="center"/>
    </xf>
    <xf numFmtId="168" fontId="26" fillId="38" borderId="12" xfId="0" applyNumberFormat="1" applyFont="1" applyFill="1" applyBorder="1" applyAlignment="1">
      <alignment horizontal="left"/>
    </xf>
    <xf numFmtId="170" fontId="26" fillId="38" borderId="12" xfId="0" applyNumberFormat="1" applyFont="1" applyFill="1" applyBorder="1" applyAlignment="1">
      <alignment horizontal="right"/>
    </xf>
    <xf numFmtId="0" fontId="26" fillId="38" borderId="12" xfId="0" applyFont="1" applyFill="1" applyBorder="1" applyAlignment="1">
      <alignment horizontal="left"/>
    </xf>
    <xf numFmtId="170" fontId="26" fillId="38" borderId="12" xfId="0" applyNumberFormat="1" applyFont="1" applyFill="1" applyBorder="1" applyAlignment="1">
      <alignment vertical="center"/>
    </xf>
    <xf numFmtId="0" fontId="26" fillId="38" borderId="12" xfId="0" applyFont="1" applyFill="1" applyBorder="1" applyAlignment="1">
      <alignment vertical="center"/>
    </xf>
    <xf numFmtId="9" fontId="26" fillId="38" borderId="12" xfId="0" applyNumberFormat="1" applyFont="1" applyFill="1" applyBorder="1" applyAlignment="1">
      <alignment vertical="center"/>
    </xf>
    <xf numFmtId="170" fontId="26" fillId="38" borderId="12" xfId="0" applyNumberFormat="1" applyFont="1" applyFill="1" applyBorder="1" applyAlignment="1">
      <alignment horizontal="center" vertical="center"/>
    </xf>
    <xf numFmtId="0" fontId="0" fillId="41" borderId="13" xfId="0" applyFill="1" applyBorder="1">
      <alignment vertical="center"/>
    </xf>
    <xf numFmtId="0" fontId="0" fillId="0" borderId="16" xfId="0" applyBorder="1">
      <alignment vertical="center"/>
    </xf>
    <xf numFmtId="0" fontId="0" fillId="0" borderId="14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0" xfId="0" applyBorder="1">
      <alignment vertical="center"/>
    </xf>
    <xf numFmtId="0" fontId="0" fillId="0" borderId="19" xfId="0" applyBorder="1">
      <alignment vertical="center"/>
    </xf>
    <xf numFmtId="0" fontId="30" fillId="33" borderId="0" xfId="0" applyFont="1" applyFill="1" applyBorder="1" applyAlignment="1">
      <alignment horizontal="centerContinuous"/>
    </xf>
    <xf numFmtId="0" fontId="29" fillId="33" borderId="0" xfId="0" applyFont="1" applyFill="1" applyBorder="1" applyAlignment="1">
      <alignment horizontal="centerContinuous"/>
    </xf>
    <xf numFmtId="0" fontId="0" fillId="0" borderId="20" xfId="0" applyBorder="1">
      <alignment vertical="center"/>
    </xf>
    <xf numFmtId="0" fontId="0" fillId="0" borderId="15" xfId="0" applyBorder="1">
      <alignment vertical="center"/>
    </xf>
    <xf numFmtId="0" fontId="0" fillId="0" borderId="21" xfId="0" applyBorder="1">
      <alignment vertical="center"/>
    </xf>
    <xf numFmtId="0" fontId="0" fillId="0" borderId="0" xfId="0" applyBorder="1" applyAlignment="1">
      <alignment horizontal="centerContinuous"/>
    </xf>
    <xf numFmtId="0" fontId="34" fillId="42" borderId="16" xfId="0" applyFont="1" applyFill="1" applyBorder="1">
      <alignment vertical="center"/>
    </xf>
    <xf numFmtId="0" fontId="34" fillId="42" borderId="14" xfId="0" applyFont="1" applyFill="1" applyBorder="1">
      <alignment vertical="center"/>
    </xf>
    <xf numFmtId="0" fontId="34" fillId="42" borderId="17" xfId="0" applyFont="1" applyFill="1" applyBorder="1">
      <alignment vertical="center"/>
    </xf>
    <xf numFmtId="0" fontId="34" fillId="42" borderId="0" xfId="0" applyFont="1" applyFill="1">
      <alignment vertical="center"/>
    </xf>
    <xf numFmtId="0" fontId="34" fillId="42" borderId="18" xfId="0" applyFont="1" applyFill="1" applyBorder="1">
      <alignment vertical="center"/>
    </xf>
    <xf numFmtId="0" fontId="34" fillId="42" borderId="0" xfId="0" applyFont="1" applyFill="1" applyBorder="1">
      <alignment vertical="center"/>
    </xf>
    <xf numFmtId="0" fontId="34" fillId="42" borderId="19" xfId="0" applyFont="1" applyFill="1" applyBorder="1">
      <alignment vertical="center"/>
    </xf>
    <xf numFmtId="0" fontId="35" fillId="42" borderId="18" xfId="0" applyFont="1" applyFill="1" applyBorder="1">
      <alignment vertical="center"/>
    </xf>
    <xf numFmtId="0" fontId="36" fillId="42" borderId="0" xfId="0" applyFont="1" applyFill="1" applyBorder="1" applyAlignment="1">
      <alignment horizontal="centerContinuous"/>
    </xf>
    <xf numFmtId="0" fontId="35" fillId="42" borderId="0" xfId="0" applyFont="1" applyFill="1" applyBorder="1" applyAlignment="1">
      <alignment horizontal="centerContinuous"/>
    </xf>
    <xf numFmtId="0" fontId="35" fillId="42" borderId="19" xfId="0" applyFont="1" applyFill="1" applyBorder="1">
      <alignment vertical="center"/>
    </xf>
    <xf numFmtId="0" fontId="35" fillId="42" borderId="0" xfId="0" applyFont="1" applyFill="1">
      <alignment vertical="center"/>
    </xf>
    <xf numFmtId="0" fontId="0" fillId="0" borderId="0" xfId="0" applyFill="1" applyBorder="1">
      <alignment vertical="center"/>
    </xf>
    <xf numFmtId="0" fontId="37" fillId="43" borderId="0" xfId="0" applyFont="1" applyFill="1" applyBorder="1">
      <alignment vertical="center"/>
    </xf>
    <xf numFmtId="0" fontId="38" fillId="43" borderId="0" xfId="0" applyFont="1" applyFill="1" applyBorder="1">
      <alignment vertical="center"/>
    </xf>
    <xf numFmtId="0" fontId="39" fillId="43" borderId="0" xfId="0" applyFont="1" applyFill="1" applyBorder="1">
      <alignment vertical="center"/>
    </xf>
    <xf numFmtId="0" fontId="40" fillId="43" borderId="0" xfId="0" applyFont="1" applyFill="1" applyBorder="1">
      <alignment vertical="center"/>
    </xf>
    <xf numFmtId="0" fontId="37" fillId="43" borderId="22" xfId="0" applyFont="1" applyFill="1" applyBorder="1">
      <alignment vertical="center"/>
    </xf>
    <xf numFmtId="0" fontId="0" fillId="43" borderId="0" xfId="0" applyFont="1" applyFill="1" applyBorder="1">
      <alignment vertical="center"/>
    </xf>
    <xf numFmtId="0" fontId="26" fillId="43" borderId="0" xfId="0" applyFont="1" applyFill="1" applyBorder="1" applyAlignment="1">
      <alignment vertical="center"/>
    </xf>
    <xf numFmtId="0" fontId="42" fillId="43" borderId="14" xfId="0" applyFont="1" applyFill="1" applyBorder="1" applyAlignment="1">
      <alignment vertical="center"/>
    </xf>
    <xf numFmtId="0" fontId="43" fillId="43" borderId="0" xfId="0" applyFont="1" applyFill="1" applyBorder="1">
      <alignment vertical="center"/>
    </xf>
    <xf numFmtId="0" fontId="43" fillId="43" borderId="0" xfId="0" applyFont="1" applyFill="1" applyBorder="1" applyAlignment="1">
      <alignment vertical="center"/>
    </xf>
    <xf numFmtId="0" fontId="43" fillId="43" borderId="15" xfId="0" applyFont="1" applyFill="1" applyBorder="1">
      <alignment vertical="center"/>
    </xf>
    <xf numFmtId="0" fontId="43" fillId="43" borderId="15" xfId="0" applyFont="1" applyFill="1" applyBorder="1" applyAlignment="1">
      <alignment vertical="center"/>
    </xf>
    <xf numFmtId="0" fontId="0" fillId="43" borderId="0" xfId="0" applyFont="1" applyFill="1" applyBorder="1" applyAlignment="1">
      <alignment vertical="center"/>
    </xf>
    <xf numFmtId="0" fontId="43" fillId="43" borderId="14" xfId="0" applyFont="1" applyFill="1" applyBorder="1" applyAlignment="1">
      <alignment vertical="center"/>
    </xf>
    <xf numFmtId="0" fontId="44" fillId="43" borderId="14" xfId="0" applyFont="1" applyFill="1" applyBorder="1" applyAlignment="1">
      <alignment vertical="center"/>
    </xf>
    <xf numFmtId="0" fontId="39" fillId="43" borderId="0" xfId="0" applyFont="1" applyFill="1" applyBorder="1" applyAlignment="1">
      <alignment vertical="center"/>
    </xf>
    <xf numFmtId="0" fontId="24" fillId="43" borderId="0" xfId="0" applyFont="1" applyFill="1" applyBorder="1">
      <alignment vertical="center"/>
    </xf>
    <xf numFmtId="0" fontId="45" fillId="43" borderId="0" xfId="0" applyFont="1" applyFill="1" applyBorder="1" applyAlignment="1">
      <alignment horizontal="centerContinuous"/>
    </xf>
    <xf numFmtId="0" fontId="37" fillId="43" borderId="0" xfId="0" applyFont="1" applyFill="1" applyBorder="1" applyAlignment="1">
      <alignment horizontal="centerContinuous"/>
    </xf>
    <xf numFmtId="0" fontId="46" fillId="43" borderId="0" xfId="0" applyFont="1" applyFill="1" applyBorder="1" applyAlignment="1">
      <alignment horizontal="centerContinuous"/>
    </xf>
    <xf numFmtId="0" fontId="24" fillId="43" borderId="15" xfId="0" applyFont="1" applyFill="1" applyBorder="1">
      <alignment vertical="center"/>
    </xf>
    <xf numFmtId="0" fontId="45" fillId="44" borderId="23" xfId="0" applyFont="1" applyFill="1" applyBorder="1" applyAlignment="1">
      <alignment vertical="center"/>
    </xf>
    <xf numFmtId="0" fontId="45" fillId="44" borderId="24" xfId="0" applyFont="1" applyFill="1" applyBorder="1" applyAlignment="1">
      <alignment vertical="center"/>
    </xf>
    <xf numFmtId="0" fontId="45" fillId="44" borderId="25" xfId="0" applyFont="1" applyFill="1" applyBorder="1" applyAlignment="1">
      <alignment vertical="center"/>
    </xf>
    <xf numFmtId="0" fontId="48" fillId="43" borderId="0" xfId="0" applyFont="1" applyFill="1" applyBorder="1" applyAlignment="1">
      <alignment vertical="center"/>
    </xf>
    <xf numFmtId="0" fontId="48" fillId="44" borderId="26" xfId="0" applyFont="1" applyFill="1" applyBorder="1" applyAlignment="1">
      <alignment vertical="center"/>
    </xf>
    <xf numFmtId="0" fontId="48" fillId="44" borderId="0" xfId="0" applyFont="1" applyFill="1" applyBorder="1" applyAlignment="1">
      <alignment vertical="center"/>
    </xf>
    <xf numFmtId="0" fontId="48" fillId="44" borderId="27" xfId="0" applyFont="1" applyFill="1" applyBorder="1" applyAlignment="1">
      <alignment vertical="center"/>
    </xf>
    <xf numFmtId="0" fontId="45" fillId="43" borderId="14" xfId="0" applyFont="1" applyFill="1" applyBorder="1" applyAlignment="1">
      <alignment vertical="center"/>
    </xf>
    <xf numFmtId="0" fontId="24" fillId="43" borderId="14" xfId="0" applyFont="1" applyFill="1" applyBorder="1">
      <alignment vertical="center"/>
    </xf>
    <xf numFmtId="0" fontId="45" fillId="44" borderId="28" xfId="0" applyFont="1" applyFill="1" applyBorder="1" applyAlignment="1">
      <alignment vertical="center"/>
    </xf>
    <xf numFmtId="0" fontId="45" fillId="44" borderId="29" xfId="0" applyFont="1" applyFill="1" applyBorder="1" applyAlignment="1">
      <alignment vertical="center"/>
    </xf>
    <xf numFmtId="0" fontId="45" fillId="44" borderId="30" xfId="0" applyFont="1" applyFill="1" applyBorder="1" applyAlignment="1">
      <alignment vertical="center"/>
    </xf>
    <xf numFmtId="0" fontId="49" fillId="43" borderId="0" xfId="0" applyFont="1" applyFill="1" applyBorder="1">
      <alignment vertical="center"/>
    </xf>
    <xf numFmtId="0" fontId="47" fillId="44" borderId="31" xfId="0" applyNumberFormat="1" applyFont="1" applyFill="1" applyBorder="1" applyAlignment="1">
      <alignment horizontal="left" vertical="center"/>
    </xf>
    <xf numFmtId="0" fontId="39" fillId="44" borderId="32" xfId="0" applyNumberFormat="1" applyFont="1" applyFill="1" applyBorder="1" applyAlignment="1">
      <alignment horizontal="center" vertical="center"/>
    </xf>
    <xf numFmtId="0" fontId="39" fillId="44" borderId="33" xfId="0" applyNumberFormat="1" applyFont="1" applyFill="1" applyBorder="1" applyAlignment="1">
      <alignment horizontal="center" vertical="center"/>
    </xf>
    <xf numFmtId="0" fontId="49" fillId="43" borderId="15" xfId="0" applyFont="1" applyFill="1" applyBorder="1" applyAlignment="1">
      <alignment vertical="center"/>
    </xf>
    <xf numFmtId="0" fontId="49" fillId="43" borderId="14" xfId="0" applyFont="1" applyFill="1" applyBorder="1" applyAlignment="1">
      <alignment vertical="center"/>
    </xf>
    <xf numFmtId="0" fontId="53" fillId="43" borderId="0" xfId="0" applyFont="1" applyFill="1" applyBorder="1">
      <alignment vertical="center"/>
    </xf>
    <xf numFmtId="0" fontId="43" fillId="43" borderId="0" xfId="0" applyFont="1" applyFill="1" applyBorder="1" applyAlignment="1">
      <alignment horizontal="centerContinuous"/>
    </xf>
    <xf numFmtId="0" fontId="53" fillId="43" borderId="0" xfId="0" applyFont="1" applyFill="1" applyBorder="1" applyAlignment="1">
      <alignment horizontal="centerContinuous"/>
    </xf>
    <xf numFmtId="171" fontId="39" fillId="44" borderId="34" xfId="0" applyNumberFormat="1" applyFont="1" applyFill="1" applyBorder="1" applyAlignment="1">
      <alignment horizontal="centerContinuous"/>
    </xf>
    <xf numFmtId="171" fontId="39" fillId="44" borderId="35" xfId="0" applyNumberFormat="1" applyFont="1" applyFill="1" applyBorder="1" applyAlignment="1">
      <alignment horizontal="centerContinuous"/>
    </xf>
    <xf numFmtId="0" fontId="39" fillId="44" borderId="34" xfId="0" applyNumberFormat="1" applyFont="1" applyFill="1" applyBorder="1" applyAlignment="1">
      <alignment horizontal="center" vertical="center"/>
    </xf>
    <xf numFmtId="0" fontId="39" fillId="44" borderId="35" xfId="0" applyNumberFormat="1" applyFont="1" applyFill="1" applyBorder="1" applyAlignment="1">
      <alignment horizontal="center" vertical="center"/>
    </xf>
    <xf numFmtId="0" fontId="39" fillId="44" borderId="36" xfId="0" applyNumberFormat="1" applyFont="1" applyFill="1" applyBorder="1" applyAlignment="1">
      <alignment horizontal="center" vertical="center"/>
    </xf>
    <xf numFmtId="172" fontId="39" fillId="44" borderId="34" xfId="0" applyNumberFormat="1" applyFont="1" applyFill="1" applyBorder="1" applyAlignment="1">
      <alignment horizontal="center" vertical="center"/>
    </xf>
    <xf numFmtId="172" fontId="39" fillId="44" borderId="35" xfId="0" applyNumberFormat="1" applyFont="1" applyFill="1" applyBorder="1" applyAlignment="1">
      <alignment horizontal="center" vertical="center"/>
    </xf>
    <xf numFmtId="171" fontId="39" fillId="44" borderId="37" xfId="0" applyNumberFormat="1" applyFont="1" applyFill="1" applyBorder="1" applyAlignment="1">
      <alignment horizontal="centerContinuous"/>
    </xf>
    <xf numFmtId="171" fontId="39" fillId="44" borderId="38" xfId="0" applyNumberFormat="1" applyFont="1" applyFill="1" applyBorder="1" applyAlignment="1">
      <alignment horizontal="centerContinuous"/>
    </xf>
    <xf numFmtId="0" fontId="39" fillId="44" borderId="37" xfId="0" applyNumberFormat="1" applyFont="1" applyFill="1" applyBorder="1" applyAlignment="1">
      <alignment horizontal="center" vertical="center"/>
    </xf>
    <xf numFmtId="0" fontId="39" fillId="44" borderId="38" xfId="0" applyNumberFormat="1" applyFont="1" applyFill="1" applyBorder="1" applyAlignment="1">
      <alignment horizontal="center" vertical="center"/>
    </xf>
    <xf numFmtId="172" fontId="39" fillId="44" borderId="37" xfId="0" applyNumberFormat="1" applyFont="1" applyFill="1" applyBorder="1" applyAlignment="1">
      <alignment horizontal="center" vertical="center"/>
    </xf>
    <xf numFmtId="172" fontId="39" fillId="44" borderId="38" xfId="0" applyNumberFormat="1" applyFont="1" applyFill="1" applyBorder="1" applyAlignment="1">
      <alignment horizontal="center" vertical="center"/>
    </xf>
    <xf numFmtId="0" fontId="39" fillId="44" borderId="34" xfId="0" applyNumberFormat="1" applyFont="1" applyFill="1" applyBorder="1" applyAlignment="1">
      <alignment horizontal="centerContinuous"/>
    </xf>
    <xf numFmtId="0" fontId="39" fillId="44" borderId="35" xfId="0" applyNumberFormat="1" applyFont="1" applyFill="1" applyBorder="1" applyAlignment="1">
      <alignment horizontal="centerContinuous"/>
    </xf>
    <xf numFmtId="0" fontId="39" fillId="44" borderId="37" xfId="0" applyNumberFormat="1" applyFont="1" applyFill="1" applyBorder="1" applyAlignment="1">
      <alignment horizontal="centerContinuous"/>
    </xf>
    <xf numFmtId="0" fontId="39" fillId="44" borderId="38" xfId="0" applyNumberFormat="1" applyFont="1" applyFill="1" applyBorder="1" applyAlignment="1">
      <alignment horizontal="centerContinuous"/>
    </xf>
    <xf numFmtId="0" fontId="49" fillId="43" borderId="15" xfId="0" applyFont="1" applyFill="1" applyBorder="1">
      <alignment vertical="center"/>
    </xf>
    <xf numFmtId="0" fontId="49" fillId="43" borderId="14" xfId="0" applyFont="1" applyFill="1" applyBorder="1" applyAlignment="1">
      <alignment horizontal="center" vertical="center"/>
    </xf>
    <xf numFmtId="0" fontId="46" fillId="44" borderId="34" xfId="0" applyFont="1" applyFill="1" applyBorder="1" applyAlignment="1">
      <alignment horizontal="center" vertical="center"/>
    </xf>
    <xf numFmtId="0" fontId="46" fillId="44" borderId="39" xfId="0" applyFont="1" applyFill="1" applyBorder="1" applyAlignment="1">
      <alignment horizontal="center" vertical="center"/>
    </xf>
    <xf numFmtId="0" fontId="46" fillId="44" borderId="35" xfId="0" applyFont="1" applyFill="1" applyBorder="1" applyAlignment="1">
      <alignment horizontal="center" vertical="center"/>
    </xf>
    <xf numFmtId="0" fontId="46" fillId="44" borderId="26" xfId="0" applyFont="1" applyFill="1" applyBorder="1" applyAlignment="1">
      <alignment horizontal="center" vertical="center"/>
    </xf>
    <xf numFmtId="0" fontId="46" fillId="44" borderId="0" xfId="0" applyFont="1" applyFill="1" applyBorder="1" applyAlignment="1">
      <alignment horizontal="center" vertical="center"/>
    </xf>
    <xf numFmtId="0" fontId="46" fillId="44" borderId="27" xfId="0" applyFont="1" applyFill="1" applyBorder="1" applyAlignment="1">
      <alignment horizontal="center" vertical="center"/>
    </xf>
    <xf numFmtId="0" fontId="46" fillId="44" borderId="37" xfId="0" applyFont="1" applyFill="1" applyBorder="1" applyAlignment="1">
      <alignment horizontal="center" vertical="center"/>
    </xf>
    <xf numFmtId="0" fontId="46" fillId="44" borderId="40" xfId="0" applyFont="1" applyFill="1" applyBorder="1" applyAlignment="1">
      <alignment horizontal="center" vertical="center"/>
    </xf>
    <xf numFmtId="0" fontId="46" fillId="44" borderId="38" xfId="0" applyFont="1" applyFill="1" applyBorder="1" applyAlignment="1">
      <alignment horizontal="center" vertical="center"/>
    </xf>
    <xf numFmtId="0" fontId="49" fillId="43" borderId="15" xfId="0" applyFont="1" applyFill="1" applyBorder="1" applyAlignment="1">
      <alignment horizontal="center" vertical="center"/>
    </xf>
    <xf numFmtId="0" fontId="47" fillId="44" borderId="23" xfId="0" applyFont="1" applyFill="1" applyBorder="1">
      <alignment vertical="center"/>
    </xf>
    <xf numFmtId="0" fontId="47" fillId="44" borderId="24" xfId="0" applyFont="1" applyFill="1" applyBorder="1" applyAlignment="1">
      <alignment horizontal="right" vertical="center"/>
    </xf>
    <xf numFmtId="0" fontId="47" fillId="44" borderId="25" xfId="0" applyFont="1" applyFill="1" applyBorder="1" applyAlignment="1">
      <alignment horizontal="right" vertical="center"/>
    </xf>
    <xf numFmtId="0" fontId="46" fillId="44" borderId="26" xfId="0" applyFont="1" applyFill="1" applyBorder="1">
      <alignment vertical="center"/>
    </xf>
    <xf numFmtId="0" fontId="46" fillId="44" borderId="0" xfId="0" applyFont="1" applyFill="1" applyBorder="1" applyAlignment="1">
      <alignment horizontal="right" vertical="center"/>
    </xf>
    <xf numFmtId="0" fontId="46" fillId="44" borderId="27" xfId="0" applyFont="1" applyFill="1" applyBorder="1" applyAlignment="1">
      <alignment horizontal="right" vertical="center"/>
    </xf>
    <xf numFmtId="0" fontId="46" fillId="44" borderId="37" xfId="0" applyFont="1" applyFill="1" applyBorder="1">
      <alignment vertical="center"/>
    </xf>
    <xf numFmtId="0" fontId="46" fillId="44" borderId="40" xfId="0" applyFont="1" applyFill="1" applyBorder="1" applyAlignment="1">
      <alignment horizontal="right" vertical="center"/>
    </xf>
    <xf numFmtId="0" fontId="46" fillId="44" borderId="38" xfId="0" applyFont="1" applyFill="1" applyBorder="1" applyAlignment="1">
      <alignment horizontal="right" vertical="center"/>
    </xf>
    <xf numFmtId="0" fontId="43" fillId="43" borderId="15" xfId="0" applyFont="1" applyFill="1" applyBorder="1" applyAlignment="1">
      <alignment horizontal="center" vertical="center"/>
    </xf>
    <xf numFmtId="0" fontId="54" fillId="43" borderId="0" xfId="0" applyFont="1" applyFill="1" applyBorder="1">
      <alignment vertical="center"/>
    </xf>
    <xf numFmtId="0" fontId="55" fillId="43" borderId="0" xfId="0" applyFont="1" applyFill="1" applyBorder="1" applyAlignment="1">
      <alignment horizontal="left" vertical="center" indent="1"/>
    </xf>
    <xf numFmtId="0" fontId="55" fillId="43" borderId="0" xfId="0" applyFont="1" applyFill="1" applyBorder="1" applyAlignment="1">
      <alignment horizontal="left" vertical="center"/>
    </xf>
    <xf numFmtId="0" fontId="39" fillId="43" borderId="0" xfId="0" quotePrefix="1" applyFont="1" applyFill="1" applyBorder="1" applyAlignment="1">
      <alignment horizontal="left"/>
    </xf>
    <xf numFmtId="0" fontId="26" fillId="38" borderId="11" xfId="0" applyFont="1" applyFill="1" applyBorder="1" applyAlignment="1">
      <alignment horizontal="center" vertical="center"/>
    </xf>
    <xf numFmtId="0" fontId="20" fillId="0" borderId="11" xfId="0" applyFont="1" applyBorder="1" applyAlignment="1"/>
  </cellXfs>
  <cellStyles count="57">
    <cellStyle name="20% - Accent1" xfId="24" builtinId="30" hidden="1"/>
    <cellStyle name="20% - Accent2" xfId="28" builtinId="34" hidden="1"/>
    <cellStyle name="20% - Accent3" xfId="32" builtinId="38" hidden="1"/>
    <cellStyle name="20% - Accent4" xfId="36" builtinId="42" hidden="1"/>
    <cellStyle name="20% - Accent5" xfId="40" builtinId="46" hidden="1"/>
    <cellStyle name="20% - Accent6" xfId="44" builtinId="50" hidden="1"/>
    <cellStyle name="40% - Accent1" xfId="25" builtinId="31" hidden="1"/>
    <cellStyle name="40% - Accent2" xfId="29" builtinId="35" hidden="1"/>
    <cellStyle name="40% - Accent3" xfId="33" builtinId="39" hidden="1"/>
    <cellStyle name="40% - Accent4" xfId="37" builtinId="43" hidden="1"/>
    <cellStyle name="40% - Accent5" xfId="41" builtinId="47" hidden="1"/>
    <cellStyle name="40% - Accent6" xfId="45" builtinId="51" hidden="1"/>
    <cellStyle name="60% - Accent1" xfId="26" builtinId="32" hidden="1"/>
    <cellStyle name="60% - Accent2" xfId="30" builtinId="36" hidden="1"/>
    <cellStyle name="60% - Accent3" xfId="34" builtinId="40" hidden="1"/>
    <cellStyle name="60% - Accent4" xfId="38" builtinId="44" hidden="1"/>
    <cellStyle name="60% - Accent5" xfId="42" builtinId="48" hidden="1"/>
    <cellStyle name="60% - Accent6" xfId="46" builtinId="52" hidden="1"/>
    <cellStyle name="Accent1" xfId="23" builtinId="29" hidden="1"/>
    <cellStyle name="Accent2" xfId="27" builtinId="33" hidden="1"/>
    <cellStyle name="Accent3" xfId="31" builtinId="37" hidden="1"/>
    <cellStyle name="Accent4" xfId="35" builtinId="41" hidden="1"/>
    <cellStyle name="Accent4" xfId="52" builtinId="41" hidden="1"/>
    <cellStyle name="Accent5" xfId="39" builtinId="45" hidden="1"/>
    <cellStyle name="Accent5" xfId="53" builtinId="45" hidden="1"/>
    <cellStyle name="Accent6" xfId="43" builtinId="49" hidden="1"/>
    <cellStyle name="Accent6" xfId="51" builtinId="49" hidden="1"/>
    <cellStyle name="Bad" xfId="12" builtinId="27" hidden="1"/>
    <cellStyle name="Calculation" xfId="16" builtinId="22" hidden="1"/>
    <cellStyle name="Check Cell" xfId="18" builtinId="23" hidden="1"/>
    <cellStyle name="Comma" xfId="1" builtinId="3" hidden="1"/>
    <cellStyle name="Comma [0]" xfId="2" builtinId="6" hidden="1"/>
    <cellStyle name="Currency" xfId="3" builtinId="4" hidden="1"/>
    <cellStyle name="Currency [0]" xfId="4" builtinId="7" hidden="1"/>
    <cellStyle name="Explanatory Text" xfId="21" builtinId="53" hidden="1"/>
    <cellStyle name="Followed Hyperlink" xfId="56" builtinId="9" hidden="1"/>
    <cellStyle name="Good" xfId="11" builtinId="26" hidden="1"/>
    <cellStyle name="Heading 1" xfId="7" builtinId="16" hidden="1"/>
    <cellStyle name="Heading 2" xfId="8" builtinId="17" hidden="1"/>
    <cellStyle name="Heading 3" xfId="9" builtinId="18" hidden="1"/>
    <cellStyle name="Heading 4" xfId="10" builtinId="19" hidden="1"/>
    <cellStyle name="Heading 4" xfId="49" builtinId="19" hidden="1"/>
    <cellStyle name="Hyperlink" xfId="54" builtinId="8" hidden="1"/>
    <cellStyle name="Hyperlink" xfId="55" builtinId="8" hidden="1"/>
    <cellStyle name="Input" xfId="14" builtinId="20" hidden="1"/>
    <cellStyle name="Input" xfId="47" builtinId="20" hidden="1" customBuiltin="1"/>
    <cellStyle name="Linked Cell" xfId="17" builtinId="24" hidden="1"/>
    <cellStyle name="Neutral" xfId="13" builtinId="28" hidden="1"/>
    <cellStyle name="Normal" xfId="0" builtinId="0" customBuiltin="1"/>
    <cellStyle name="Note" xfId="20" builtinId="10" hidden="1"/>
    <cellStyle name="Output" xfId="15" builtinId="21" hidden="1"/>
    <cellStyle name="Percent" xfId="5" builtinId="5" hidden="1"/>
    <cellStyle name="Title" xfId="6" builtinId="15" hidden="1"/>
    <cellStyle name="Title" xfId="48" builtinId="15" hidden="1" customBuiltin="1"/>
    <cellStyle name="Total" xfId="22" builtinId="25" hidden="1"/>
    <cellStyle name="Warning Text" xfId="19" builtinId="11" hidden="1"/>
    <cellStyle name="Warning Text" xfId="50" builtinId="11" hidden="1"/>
  </cellStyles>
  <dxfs count="0"/>
  <tableStyles count="0" defaultTableStyle="TableStyleMedium9" defaultPivotStyle="PivotStyleLight16"/>
  <colors>
    <mruColors>
      <color rgb="FFDCDCDC"/>
      <color rgb="FF5A5A5A"/>
      <color rgb="FFE2EA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5603</xdr:colOff>
      <xdr:row>12</xdr:row>
      <xdr:rowOff>168088</xdr:rowOff>
    </xdr:from>
    <xdr:to>
      <xdr:col>10</xdr:col>
      <xdr:colOff>16809</xdr:colOff>
      <xdr:row>17</xdr:row>
      <xdr:rowOff>1679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8089" y="2078692"/>
          <a:ext cx="6163235" cy="702046"/>
          <a:chOff x="2207558" y="2947146"/>
          <a:chExt cx="7530353" cy="728382"/>
        </a:xfrm>
      </xdr:grpSpPr>
      <xdr:sp macro="[0]!InstallAddI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2207558" y="2947146"/>
            <a:ext cx="7530353" cy="728382"/>
          </a:xfrm>
          <a:prstGeom prst="rect">
            <a:avLst/>
          </a:prstGeom>
          <a:solidFill>
            <a:schemeClr val="bg1"/>
          </a:solidFill>
          <a:ln>
            <a:solidFill>
              <a:schemeClr val="bg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ln>
                <a:solidFill>
                  <a:schemeClr val="bg2">
                    <a:lumMod val="50000"/>
                  </a:schemeClr>
                </a:solidFill>
              </a:ln>
            </a:endParaRPr>
          </a:p>
        </xdr:txBody>
      </xdr:sp>
      <xdr:sp macro="[0]!InstallAddIn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2241176" y="2980764"/>
            <a:ext cx="7463118" cy="661148"/>
          </a:xfrm>
          <a:prstGeom prst="rect">
            <a:avLst/>
          </a:prstGeom>
          <a:solidFill>
            <a:srgbClr val="5A5A5A"/>
          </a:solidFill>
          <a:ln>
            <a:solidFill>
              <a:schemeClr val="accent3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rtlCol="0" anchor="ctr"/>
          <a:lstStyle/>
          <a:p>
            <a:pPr algn="ctr"/>
            <a:r>
              <a:rPr lang="pt-BR" sz="2800" b="0">
                <a:ln>
                  <a:noFill/>
                </a:ln>
                <a:solidFill>
                  <a:schemeClr val="bg1"/>
                </a:solidFill>
                <a:latin typeface="Century Gothic" panose="020B0502020202020204" pitchFamily="34" charset="0"/>
              </a:rPr>
              <a:t>Install / Uninstall NEAT Add-in</a:t>
            </a:r>
          </a:p>
        </xdr:txBody>
      </xdr:sp>
      <xdr:sp macro="[0]!InstallAddIn" textlink="">
        <xdr:nvSpPr>
          <xdr:cNvPr id="5" name="Chevron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9376865" y="3074101"/>
            <a:ext cx="205805" cy="474471"/>
          </a:xfrm>
          <a:prstGeom prst="chevron">
            <a:avLst>
              <a:gd name="adj" fmla="val 75486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ln>
                <a:noFill/>
              </a:ln>
              <a:solidFill>
                <a:schemeClr val="tx1"/>
              </a:solidFill>
            </a:endParaRPr>
          </a:p>
        </xdr:txBody>
      </xdr:sp>
      <xdr:sp macro="[0]!InstallAddIn" textlink="">
        <xdr:nvSpPr>
          <xdr:cNvPr id="6" name="Chevron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9259323" y="3074101"/>
            <a:ext cx="207235" cy="474471"/>
          </a:xfrm>
          <a:prstGeom prst="chevron">
            <a:avLst>
              <a:gd name="adj" fmla="val 75486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ln>
                <a:noFill/>
              </a:ln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1</xdr:col>
      <xdr:colOff>216647</xdr:colOff>
      <xdr:row>5</xdr:row>
      <xdr:rowOff>0</xdr:rowOff>
    </xdr:from>
    <xdr:to>
      <xdr:col>9</xdr:col>
      <xdr:colOff>493059</xdr:colOff>
      <xdr:row>10</xdr:row>
      <xdr:rowOff>141963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379133" y="694765"/>
          <a:ext cx="5744882" cy="1010419"/>
          <a:chOff x="156882" y="179294"/>
          <a:chExt cx="12263137" cy="1941245"/>
        </a:xfrm>
      </xdr:grpSpPr>
      <xdr:pic>
        <xdr:nvPicPr>
          <xdr:cNvPr id="21" name="Picture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screen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156882" y="179294"/>
            <a:ext cx="5933264" cy="1941245"/>
          </a:xfrm>
          <a:prstGeom prst="rect">
            <a:avLst/>
          </a:prstGeom>
        </xdr:spPr>
      </xdr:pic>
      <xdr:sp macro="" textlink="">
        <xdr:nvSpPr>
          <xdr:cNvPr id="22" name="TextBox 3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 txBox="1"/>
        </xdr:nvSpPr>
        <xdr:spPr>
          <a:xfrm>
            <a:off x="6356516" y="189946"/>
            <a:ext cx="6063503" cy="1919941"/>
          </a:xfrm>
          <a:prstGeom prst="rect">
            <a:avLst/>
          </a:prstGeom>
          <a:solidFill>
            <a:sysClr val="window" lastClr="FFFFFF"/>
          </a:solidFill>
        </xdr:spPr>
        <xdr:txBody>
          <a:bodyPr wrap="square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E7E6E6">
                    <a:lumMod val="25000"/>
                  </a:srgbClr>
                </a:solidFill>
                <a:effectLst/>
                <a:uLnTx/>
                <a:uFillTx/>
                <a:latin typeface="Century Gothic" panose="020B0502020202020204" pitchFamily="34" charset="0"/>
                <a:ea typeface="+mn-ea"/>
                <a:cs typeface="+mn-cs"/>
              </a:rPr>
              <a:t>WELCOME TO NEAT!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80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300" b="1" i="0" u="none" strike="noStrike" kern="0" cap="none" spc="0" normalizeH="0" baseline="0" noProof="0">
                <a:ln>
                  <a:noFill/>
                </a:ln>
                <a:solidFill>
                  <a:srgbClr val="E7E6E6">
                    <a:lumMod val="25000"/>
                  </a:srgbClr>
                </a:solidFill>
                <a:effectLst/>
                <a:uLnTx/>
                <a:uFillTx/>
                <a:latin typeface="Century Gothic" panose="020B0502020202020204" pitchFamily="34" charset="0"/>
                <a:ea typeface="+mn-ea"/>
                <a:cs typeface="+mn-cs"/>
              </a:rPr>
              <a:t>NEAT Add-in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300" b="1" i="0" u="none" strike="noStrike" kern="0" cap="none" spc="0" normalizeH="0" baseline="0" noProof="0">
                <a:ln>
                  <a:noFill/>
                </a:ln>
                <a:solidFill>
                  <a:srgbClr val="E7E6E6">
                    <a:lumMod val="25000"/>
                  </a:srgbClr>
                </a:solidFill>
                <a:effectLst/>
                <a:uLnTx/>
                <a:uFillTx/>
                <a:latin typeface="Century Gothic" panose="020B0502020202020204" pitchFamily="34" charset="0"/>
                <a:ea typeface="+mn-ea"/>
                <a:cs typeface="+mn-cs"/>
              </a:rPr>
              <a:t>Version 0.9 alpha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34</xdr:row>
      <xdr:rowOff>57150</xdr:rowOff>
    </xdr:from>
    <xdr:to>
      <xdr:col>17</xdr:col>
      <xdr:colOff>679451</xdr:colOff>
      <xdr:row>46</xdr:row>
      <xdr:rowOff>55963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8192229-366B-4608-9A76-7D52A79A2A6D}"/>
            </a:ext>
          </a:extLst>
        </xdr:cNvPr>
        <xdr:cNvGrpSpPr/>
      </xdr:nvGrpSpPr>
      <xdr:grpSpPr>
        <a:xfrm>
          <a:off x="161365" y="6332444"/>
          <a:ext cx="11723968" cy="2150343"/>
          <a:chOff x="156882" y="6123268"/>
          <a:chExt cx="11676157" cy="2150342"/>
        </a:xfrm>
      </xdr:grpSpPr>
      <xdr:sp macro="" textlink="">
        <xdr:nvSpPr>
          <xdr:cNvPr id="3" name="TextBox 3">
            <a:extLst>
              <a:ext uri="{FF2B5EF4-FFF2-40B4-BE49-F238E27FC236}">
                <a16:creationId xmlns:a16="http://schemas.microsoft.com/office/drawing/2014/main" id="{AD366A3E-91E3-437A-913E-698026071E5F}"/>
              </a:ext>
            </a:extLst>
          </xdr:cNvPr>
          <xdr:cNvSpPr txBox="1"/>
        </xdr:nvSpPr>
        <xdr:spPr>
          <a:xfrm>
            <a:off x="156882" y="6783294"/>
            <a:ext cx="11676157" cy="1487262"/>
          </a:xfrm>
          <a:prstGeom prst="rect">
            <a:avLst/>
          </a:prstGeom>
          <a:solidFill>
            <a:srgbClr val="E6E6E6"/>
          </a:solidFill>
          <a:ln w="3175">
            <a:noFill/>
          </a:ln>
        </xdr:spPr>
        <xdr:txBody>
          <a:bodyPr wrap="square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3500" b="1" i="0" u="none" strike="noStrike" kern="120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/>
              <a:ea typeface="+mn-ea"/>
              <a:cs typeface="+mn-cs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C04EE58A-C6C9-466B-A2AB-FDE8A961BF2F}"/>
              </a:ext>
            </a:extLst>
          </xdr:cNvPr>
          <xdr:cNvSpPr txBox="1"/>
        </xdr:nvSpPr>
        <xdr:spPr>
          <a:xfrm>
            <a:off x="156882" y="6123268"/>
            <a:ext cx="11676156" cy="531532"/>
          </a:xfrm>
          <a:prstGeom prst="rect">
            <a:avLst/>
          </a:prstGeom>
          <a:solidFill>
            <a:sysClr val="windowText" lastClr="000000"/>
          </a:solidFill>
          <a:ln w="3175">
            <a:noFill/>
          </a:ln>
        </xdr:spPr>
        <xdr:txBody>
          <a:bodyPr wrap="square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120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2900" b="1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Franklin Gothic Heavy" panose="020B0903020102020204" pitchFamily="34" charset="0"/>
                <a:ea typeface="+mn-ea"/>
                <a:cs typeface="+mn-cs"/>
              </a:rPr>
              <a:t>SAVE</a:t>
            </a:r>
          </a:p>
        </xdr:txBody>
      </xdr:sp>
      <xdr:pic>
        <xdr:nvPicPr>
          <xdr:cNvPr id="5" name="Picture 4">
            <a:extLst>
              <a:ext uri="{FF2B5EF4-FFF2-40B4-BE49-F238E27FC236}">
                <a16:creationId xmlns:a16="http://schemas.microsoft.com/office/drawing/2014/main" id="{738C9039-9641-4552-8317-7B949E40D21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screen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156882" y="6783294"/>
            <a:ext cx="1641694" cy="1490316"/>
          </a:xfrm>
          <a:prstGeom prst="rect">
            <a:avLst/>
          </a:prstGeom>
        </xdr:spPr>
      </xdr:pic>
      <xdr:sp macro="" textlink="">
        <xdr:nvSpPr>
          <xdr:cNvPr id="6" name="TextBox 3">
            <a:extLst>
              <a:ext uri="{FF2B5EF4-FFF2-40B4-BE49-F238E27FC236}">
                <a16:creationId xmlns:a16="http://schemas.microsoft.com/office/drawing/2014/main" id="{D298B5D6-3560-410F-900F-956C4E1D2DA4}"/>
              </a:ext>
            </a:extLst>
          </xdr:cNvPr>
          <xdr:cNvSpPr txBox="1"/>
        </xdr:nvSpPr>
        <xdr:spPr>
          <a:xfrm>
            <a:off x="1807882" y="6783294"/>
            <a:ext cx="10025157" cy="1487262"/>
          </a:xfrm>
          <a:prstGeom prst="rect">
            <a:avLst/>
          </a:prstGeom>
          <a:noFill/>
          <a:ln w="3175">
            <a:noFill/>
          </a:ln>
        </xdr:spPr>
        <xdr:txBody>
          <a:bodyPr wrap="square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800" b="0" i="0" u="none" strike="noStrike" kern="1200" cap="none" spc="0" normalizeH="0" baseline="0" noProof="0">
                <a:ln>
                  <a:noFill/>
                </a:ln>
                <a:solidFill>
                  <a:srgbClr val="E7E6E6">
                    <a:lumMod val="25000"/>
                  </a:srgbClr>
                </a:solidFill>
                <a:effectLst/>
                <a:uLnTx/>
                <a:uFillTx/>
                <a:latin typeface="Arial" panose="020B0604020202020204"/>
                <a:ea typeface="+mn-ea"/>
                <a:cs typeface="+mn-cs"/>
              </a:rPr>
              <a:t>Automatically manages versions of your workbook using the filename format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35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Arial" panose="020B0604020202020204"/>
                <a:ea typeface="+mn-ea"/>
                <a:cs typeface="+mn-cs"/>
              </a:rPr>
              <a:t>YYMMDD_FILE.NAME_vX.Y_AB</a:t>
            </a:r>
          </a:p>
        </xdr:txBody>
      </xdr:sp>
    </xdr:grpSp>
    <xdr:clientData/>
  </xdr:twoCellAnchor>
  <xdr:twoCellAnchor>
    <xdr:from>
      <xdr:col>1</xdr:col>
      <xdr:colOff>0</xdr:colOff>
      <xdr:row>73</xdr:row>
      <xdr:rowOff>0</xdr:rowOff>
    </xdr:from>
    <xdr:to>
      <xdr:col>17</xdr:col>
      <xdr:colOff>679451</xdr:colOff>
      <xdr:row>85</xdr:row>
      <xdr:rowOff>55963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D655ED7-0C45-4AFF-A1A1-31754FD0A69B}"/>
            </a:ext>
          </a:extLst>
        </xdr:cNvPr>
        <xdr:cNvGrpSpPr/>
      </xdr:nvGrpSpPr>
      <xdr:grpSpPr>
        <a:xfrm>
          <a:off x="161365" y="14594541"/>
          <a:ext cx="11723968" cy="2207493"/>
          <a:chOff x="156882" y="14283765"/>
          <a:chExt cx="11676157" cy="2207492"/>
        </a:xfrm>
      </xdr:grpSpPr>
      <xdr:sp macro="" textlink="">
        <xdr:nvSpPr>
          <xdr:cNvPr id="8" name="TextBox 3">
            <a:extLst>
              <a:ext uri="{FF2B5EF4-FFF2-40B4-BE49-F238E27FC236}">
                <a16:creationId xmlns:a16="http://schemas.microsoft.com/office/drawing/2014/main" id="{CE7F283D-484B-4361-A533-30CA6DBD4296}"/>
              </a:ext>
            </a:extLst>
          </xdr:cNvPr>
          <xdr:cNvSpPr txBox="1"/>
        </xdr:nvSpPr>
        <xdr:spPr>
          <a:xfrm>
            <a:off x="156882" y="14283765"/>
            <a:ext cx="11676156" cy="531532"/>
          </a:xfrm>
          <a:prstGeom prst="rect">
            <a:avLst/>
          </a:prstGeom>
          <a:solidFill>
            <a:sysClr val="windowText" lastClr="000000"/>
          </a:solidFill>
          <a:ln w="3175">
            <a:noFill/>
          </a:ln>
        </xdr:spPr>
        <xdr:txBody>
          <a:bodyPr wrap="square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120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2900" b="1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Franklin Gothic Heavy" panose="020B0903020102020204" pitchFamily="34" charset="0"/>
                <a:ea typeface="+mn-ea"/>
                <a:cs typeface="+mn-cs"/>
              </a:rPr>
              <a:t>SPREADSHEET</a:t>
            </a:r>
          </a:p>
        </xdr:txBody>
      </xdr:sp>
      <xdr:sp macro="" textlink="">
        <xdr:nvSpPr>
          <xdr:cNvPr id="9" name="TextBox 3">
            <a:extLst>
              <a:ext uri="{FF2B5EF4-FFF2-40B4-BE49-F238E27FC236}">
                <a16:creationId xmlns:a16="http://schemas.microsoft.com/office/drawing/2014/main" id="{E7358206-F40B-4873-889E-99951C2E44CD}"/>
              </a:ext>
            </a:extLst>
          </xdr:cNvPr>
          <xdr:cNvSpPr txBox="1"/>
        </xdr:nvSpPr>
        <xdr:spPr>
          <a:xfrm>
            <a:off x="156882" y="15000941"/>
            <a:ext cx="11676157" cy="1487262"/>
          </a:xfrm>
          <a:prstGeom prst="rect">
            <a:avLst/>
          </a:prstGeom>
          <a:solidFill>
            <a:srgbClr val="E6E6E6"/>
          </a:solidFill>
          <a:ln w="3175">
            <a:noFill/>
          </a:ln>
        </xdr:spPr>
        <xdr:txBody>
          <a:bodyPr wrap="square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3500" b="1" i="0" u="none" strike="noStrike" kern="120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/>
              <a:ea typeface="+mn-ea"/>
              <a:cs typeface="+mn-cs"/>
            </a:endParaRPr>
          </a:p>
        </xdr:txBody>
      </xdr:sp>
      <xdr:pic>
        <xdr:nvPicPr>
          <xdr:cNvPr id="10" name="Picture 9">
            <a:extLst>
              <a:ext uri="{FF2B5EF4-FFF2-40B4-BE49-F238E27FC236}">
                <a16:creationId xmlns:a16="http://schemas.microsoft.com/office/drawing/2014/main" id="{85F5EB7E-E368-4191-B664-B12FF8B5811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screen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156882" y="15000941"/>
            <a:ext cx="4131235" cy="1490316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0</xdr:colOff>
      <xdr:row>99</xdr:row>
      <xdr:rowOff>0</xdr:rowOff>
    </xdr:from>
    <xdr:to>
      <xdr:col>17</xdr:col>
      <xdr:colOff>679451</xdr:colOff>
      <xdr:row>111</xdr:row>
      <xdr:rowOff>55963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6C1CD338-E2EE-45A8-8430-893755E5F417}"/>
            </a:ext>
          </a:extLst>
        </xdr:cNvPr>
        <xdr:cNvGrpSpPr/>
      </xdr:nvGrpSpPr>
      <xdr:grpSpPr>
        <a:xfrm>
          <a:off x="161365" y="19982329"/>
          <a:ext cx="11723968" cy="2207493"/>
          <a:chOff x="156882" y="19662588"/>
          <a:chExt cx="11676157" cy="2207493"/>
        </a:xfrm>
      </xdr:grpSpPr>
      <xdr:sp macro="" textlink="">
        <xdr:nvSpPr>
          <xdr:cNvPr id="12" name="TextBox 3">
            <a:extLst>
              <a:ext uri="{FF2B5EF4-FFF2-40B4-BE49-F238E27FC236}">
                <a16:creationId xmlns:a16="http://schemas.microsoft.com/office/drawing/2014/main" id="{CFC0EE43-CF66-482E-B051-96FDB78DF1F9}"/>
              </a:ext>
            </a:extLst>
          </xdr:cNvPr>
          <xdr:cNvSpPr txBox="1"/>
        </xdr:nvSpPr>
        <xdr:spPr>
          <a:xfrm>
            <a:off x="156882" y="19662588"/>
            <a:ext cx="11676156" cy="531532"/>
          </a:xfrm>
          <a:prstGeom prst="rect">
            <a:avLst/>
          </a:prstGeom>
          <a:solidFill>
            <a:sysClr val="windowText" lastClr="000000"/>
          </a:solidFill>
          <a:ln w="3175">
            <a:noFill/>
          </a:ln>
        </xdr:spPr>
        <xdr:txBody>
          <a:bodyPr wrap="square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120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2900" b="1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Franklin Gothic Heavy" panose="020B0903020102020204" pitchFamily="34" charset="0"/>
                <a:ea typeface="+mn-ea"/>
                <a:cs typeface="+mn-cs"/>
              </a:rPr>
              <a:t>FORMAT CELLS</a:t>
            </a:r>
          </a:p>
        </xdr:txBody>
      </xdr:sp>
      <xdr:sp macro="" textlink="">
        <xdr:nvSpPr>
          <xdr:cNvPr id="13" name="TextBox 3">
            <a:extLst>
              <a:ext uri="{FF2B5EF4-FFF2-40B4-BE49-F238E27FC236}">
                <a16:creationId xmlns:a16="http://schemas.microsoft.com/office/drawing/2014/main" id="{5BF76F95-B074-40BC-A461-06E3C40A39D4}"/>
              </a:ext>
            </a:extLst>
          </xdr:cNvPr>
          <xdr:cNvSpPr txBox="1"/>
        </xdr:nvSpPr>
        <xdr:spPr>
          <a:xfrm>
            <a:off x="156882" y="20379765"/>
            <a:ext cx="11676157" cy="1487262"/>
          </a:xfrm>
          <a:prstGeom prst="rect">
            <a:avLst/>
          </a:prstGeom>
          <a:solidFill>
            <a:srgbClr val="E6E6E6"/>
          </a:solidFill>
          <a:ln w="3175">
            <a:noFill/>
          </a:ln>
        </xdr:spPr>
        <xdr:txBody>
          <a:bodyPr wrap="square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3500" b="1" i="0" u="none" strike="noStrike" kern="120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/>
              <a:ea typeface="+mn-ea"/>
              <a:cs typeface="+mn-cs"/>
            </a:endParaRPr>
          </a:p>
        </xdr:txBody>
      </xdr:sp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47649F26-D07B-4769-9EE4-6AEE2F1C152C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 cstate="screen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156882" y="20379765"/>
            <a:ext cx="3294529" cy="149031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657412</xdr:colOff>
      <xdr:row>115</xdr:row>
      <xdr:rowOff>7470</xdr:rowOff>
    </xdr:from>
    <xdr:to>
      <xdr:col>3</xdr:col>
      <xdr:colOff>627529</xdr:colOff>
      <xdr:row>116</xdr:row>
      <xdr:rowOff>74706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E95A40AB-5319-4BDB-BFDE-4C117A25276C}"/>
            </a:ext>
          </a:extLst>
        </xdr:cNvPr>
        <xdr:cNvCxnSpPr/>
      </xdr:nvCxnSpPr>
      <xdr:spPr>
        <a:xfrm>
          <a:off x="1503232" y="22616010"/>
          <a:ext cx="655917" cy="326316"/>
        </a:xfrm>
        <a:prstGeom prst="straightConnector1">
          <a:avLst/>
        </a:prstGeom>
        <a:noFill/>
        <a:ln w="28575" cap="flat" cmpd="sng" algn="ctr">
          <a:solidFill>
            <a:srgbClr val="FF0000"/>
          </a:solidFill>
          <a:prstDash val="solid"/>
          <a:tailEnd type="triangle"/>
        </a:ln>
        <a:effectLst/>
      </xdr:spPr>
    </xdr:cxnSp>
    <xdr:clientData/>
  </xdr:twoCellAnchor>
  <xdr:twoCellAnchor>
    <xdr:from>
      <xdr:col>1</xdr:col>
      <xdr:colOff>0</xdr:colOff>
      <xdr:row>188</xdr:row>
      <xdr:rowOff>0</xdr:rowOff>
    </xdr:from>
    <xdr:to>
      <xdr:col>17</xdr:col>
      <xdr:colOff>679451</xdr:colOff>
      <xdr:row>200</xdr:row>
      <xdr:rowOff>55963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5BB1DC90-731C-4D9F-8FCC-EA8E5F3856F2}"/>
            </a:ext>
          </a:extLst>
        </xdr:cNvPr>
        <xdr:cNvGrpSpPr/>
      </xdr:nvGrpSpPr>
      <xdr:grpSpPr>
        <a:xfrm>
          <a:off x="161365" y="39121976"/>
          <a:ext cx="11723968" cy="2207493"/>
          <a:chOff x="156882" y="38354000"/>
          <a:chExt cx="11676157" cy="2207492"/>
        </a:xfrm>
      </xdr:grpSpPr>
      <xdr:sp macro="" textlink="">
        <xdr:nvSpPr>
          <xdr:cNvPr id="17" name="TextBox 3">
            <a:extLst>
              <a:ext uri="{FF2B5EF4-FFF2-40B4-BE49-F238E27FC236}">
                <a16:creationId xmlns:a16="http://schemas.microsoft.com/office/drawing/2014/main" id="{421D9B70-103D-4720-A812-A9BDB93078B2}"/>
              </a:ext>
            </a:extLst>
          </xdr:cNvPr>
          <xdr:cNvSpPr txBox="1"/>
        </xdr:nvSpPr>
        <xdr:spPr>
          <a:xfrm>
            <a:off x="156882" y="38354000"/>
            <a:ext cx="11676156" cy="531532"/>
          </a:xfrm>
          <a:prstGeom prst="rect">
            <a:avLst/>
          </a:prstGeom>
          <a:solidFill>
            <a:sysClr val="windowText" lastClr="000000"/>
          </a:solidFill>
          <a:ln w="3175">
            <a:noFill/>
          </a:ln>
        </xdr:spPr>
        <xdr:txBody>
          <a:bodyPr wrap="square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120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2900" b="1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Franklin Gothic Heavy" panose="020B0903020102020204" pitchFamily="34" charset="0"/>
                <a:ea typeface="+mn-ea"/>
                <a:cs typeface="+mn-cs"/>
              </a:rPr>
              <a:t>PIVOT TABLE</a:t>
            </a:r>
          </a:p>
        </xdr:txBody>
      </xdr:sp>
      <xdr:sp macro="" textlink="">
        <xdr:nvSpPr>
          <xdr:cNvPr id="18" name="TextBox 3">
            <a:extLst>
              <a:ext uri="{FF2B5EF4-FFF2-40B4-BE49-F238E27FC236}">
                <a16:creationId xmlns:a16="http://schemas.microsoft.com/office/drawing/2014/main" id="{324AE1DE-297F-49AD-ABDA-B3EC277F6F29}"/>
              </a:ext>
            </a:extLst>
          </xdr:cNvPr>
          <xdr:cNvSpPr txBox="1"/>
        </xdr:nvSpPr>
        <xdr:spPr>
          <a:xfrm>
            <a:off x="156882" y="39071176"/>
            <a:ext cx="11676157" cy="1487262"/>
          </a:xfrm>
          <a:prstGeom prst="rect">
            <a:avLst/>
          </a:prstGeom>
          <a:solidFill>
            <a:srgbClr val="E6E6E6"/>
          </a:solidFill>
          <a:ln w="3175">
            <a:noFill/>
          </a:ln>
        </xdr:spPr>
        <xdr:txBody>
          <a:bodyPr wrap="square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3500" b="1" i="0" u="none" strike="noStrike" kern="120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/>
              <a:ea typeface="+mn-ea"/>
              <a:cs typeface="+mn-cs"/>
            </a:endParaRPr>
          </a:p>
        </xdr:txBody>
      </xdr:sp>
      <xdr:pic>
        <xdr:nvPicPr>
          <xdr:cNvPr id="19" name="Picture 18">
            <a:extLst>
              <a:ext uri="{FF2B5EF4-FFF2-40B4-BE49-F238E27FC236}">
                <a16:creationId xmlns:a16="http://schemas.microsoft.com/office/drawing/2014/main" id="{5EF4455C-E760-4345-BB6C-5E980A565DD9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 cstate="screen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156882" y="39071176"/>
            <a:ext cx="2360706" cy="1490316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120650</xdr:colOff>
      <xdr:row>127</xdr:row>
      <xdr:rowOff>149410</xdr:rowOff>
    </xdr:from>
    <xdr:to>
      <xdr:col>7</xdr:col>
      <xdr:colOff>590177</xdr:colOff>
      <xdr:row>127</xdr:row>
      <xdr:rowOff>149410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3DD343DE-B34E-43DF-9967-89EB3B608AAB}"/>
            </a:ext>
          </a:extLst>
        </xdr:cNvPr>
        <xdr:cNvCxnSpPr/>
      </xdr:nvCxnSpPr>
      <xdr:spPr>
        <a:xfrm>
          <a:off x="4395470" y="25912630"/>
          <a:ext cx="469527" cy="0"/>
        </a:xfrm>
        <a:prstGeom prst="straightConnector1">
          <a:avLst/>
        </a:prstGeom>
        <a:noFill/>
        <a:ln w="28575" cap="flat" cmpd="sng" algn="ctr">
          <a:solidFill>
            <a:srgbClr val="FF0000"/>
          </a:solidFill>
          <a:prstDash val="solid"/>
          <a:tailEnd type="triangle"/>
        </a:ln>
        <a:effectLst/>
      </xdr:spPr>
    </xdr:cxnSp>
    <xdr:clientData/>
  </xdr:twoCellAnchor>
  <xdr:twoCellAnchor>
    <xdr:from>
      <xdr:col>15</xdr:col>
      <xdr:colOff>97117</xdr:colOff>
      <xdr:row>150</xdr:row>
      <xdr:rowOff>22412</xdr:rowOff>
    </xdr:from>
    <xdr:to>
      <xdr:col>15</xdr:col>
      <xdr:colOff>343647</xdr:colOff>
      <xdr:row>151</xdr:row>
      <xdr:rowOff>7471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8265F55B-9B97-4578-8F02-31ACF553DF25}"/>
            </a:ext>
          </a:extLst>
        </xdr:cNvPr>
        <xdr:cNvCxnSpPr/>
      </xdr:nvCxnSpPr>
      <xdr:spPr>
        <a:xfrm flipH="1">
          <a:off x="9858337" y="30334772"/>
          <a:ext cx="246530" cy="160319"/>
        </a:xfrm>
        <a:prstGeom prst="straightConnector1">
          <a:avLst/>
        </a:prstGeom>
        <a:noFill/>
        <a:ln w="28575" cap="flat" cmpd="sng" algn="ctr">
          <a:solidFill>
            <a:srgbClr val="FF0000"/>
          </a:solidFill>
          <a:prstDash val="solid"/>
          <a:tailEnd type="triangle"/>
        </a:ln>
        <a:effectLst/>
      </xdr:spPr>
    </xdr:cxnSp>
    <xdr:clientData/>
  </xdr:twoCellAnchor>
  <xdr:twoCellAnchor>
    <xdr:from>
      <xdr:col>8</xdr:col>
      <xdr:colOff>425824</xdr:colOff>
      <xdr:row>157</xdr:row>
      <xdr:rowOff>7471</xdr:rowOff>
    </xdr:from>
    <xdr:to>
      <xdr:col>8</xdr:col>
      <xdr:colOff>620059</xdr:colOff>
      <xdr:row>158</xdr:row>
      <xdr:rowOff>22412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0265C885-7B54-4015-8DC0-813CDDE40766}"/>
            </a:ext>
          </a:extLst>
        </xdr:cNvPr>
        <xdr:cNvCxnSpPr/>
      </xdr:nvCxnSpPr>
      <xdr:spPr>
        <a:xfrm>
          <a:off x="5386444" y="32034331"/>
          <a:ext cx="194235" cy="274021"/>
        </a:xfrm>
        <a:prstGeom prst="straightConnector1">
          <a:avLst/>
        </a:prstGeom>
        <a:noFill/>
        <a:ln w="28575" cap="flat" cmpd="sng" algn="ctr">
          <a:solidFill>
            <a:srgbClr val="FF0000"/>
          </a:solidFill>
          <a:prstDash val="solid"/>
          <a:tailEnd type="triangle"/>
        </a:ln>
        <a:effectLst/>
      </xdr:spPr>
    </xdr:cxnSp>
    <xdr:clientData/>
  </xdr:twoCellAnchor>
  <xdr:twoCellAnchor>
    <xdr:from>
      <xdr:col>14</xdr:col>
      <xdr:colOff>664882</xdr:colOff>
      <xdr:row>157</xdr:row>
      <xdr:rowOff>0</xdr:rowOff>
    </xdr:from>
    <xdr:to>
      <xdr:col>15</xdr:col>
      <xdr:colOff>224118</xdr:colOff>
      <xdr:row>157</xdr:row>
      <xdr:rowOff>239059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D4F8D13E-4BA7-46FC-8E2B-9AF5DC30477B}"/>
            </a:ext>
          </a:extLst>
        </xdr:cNvPr>
        <xdr:cNvCxnSpPr/>
      </xdr:nvCxnSpPr>
      <xdr:spPr>
        <a:xfrm flipH="1">
          <a:off x="9740302" y="32026860"/>
          <a:ext cx="245036" cy="239059"/>
        </a:xfrm>
        <a:prstGeom prst="straightConnector1">
          <a:avLst/>
        </a:prstGeom>
        <a:noFill/>
        <a:ln w="28575" cap="flat" cmpd="sng" algn="ctr">
          <a:solidFill>
            <a:srgbClr val="FF0000"/>
          </a:solidFill>
          <a:prstDash val="solid"/>
          <a:tailEnd type="triangle"/>
        </a:ln>
        <a:effectLst/>
      </xdr:spPr>
    </xdr:cxnSp>
    <xdr:clientData/>
  </xdr:twoCellAnchor>
  <xdr:twoCellAnchor>
    <xdr:from>
      <xdr:col>3</xdr:col>
      <xdr:colOff>0</xdr:colOff>
      <xdr:row>157</xdr:row>
      <xdr:rowOff>0</xdr:rowOff>
    </xdr:from>
    <xdr:to>
      <xdr:col>3</xdr:col>
      <xdr:colOff>246530</xdr:colOff>
      <xdr:row>157</xdr:row>
      <xdr:rowOff>239059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9D7AE386-C9B5-4DA0-AA59-9ADA619E737A}"/>
            </a:ext>
          </a:extLst>
        </xdr:cNvPr>
        <xdr:cNvCxnSpPr/>
      </xdr:nvCxnSpPr>
      <xdr:spPr>
        <a:xfrm flipH="1">
          <a:off x="1531620" y="32026860"/>
          <a:ext cx="246530" cy="239059"/>
        </a:xfrm>
        <a:prstGeom prst="straightConnector1">
          <a:avLst/>
        </a:prstGeom>
        <a:noFill/>
        <a:ln w="28575" cap="flat" cmpd="sng" algn="ctr">
          <a:solidFill>
            <a:srgbClr val="FF0000"/>
          </a:solidFill>
          <a:prstDash val="solid"/>
          <a:tailEnd type="triangle"/>
        </a:ln>
        <a:effectLst/>
      </xdr:spPr>
    </xdr:cxnSp>
    <xdr:clientData/>
  </xdr:twoCellAnchor>
  <xdr:twoCellAnchor>
    <xdr:from>
      <xdr:col>4</xdr:col>
      <xdr:colOff>171823</xdr:colOff>
      <xdr:row>181</xdr:row>
      <xdr:rowOff>141941</xdr:rowOff>
    </xdr:from>
    <xdr:to>
      <xdr:col>4</xdr:col>
      <xdr:colOff>530412</xdr:colOff>
      <xdr:row>181</xdr:row>
      <xdr:rowOff>149412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1546D978-1775-4682-B378-8FD8A015AB9B}"/>
            </a:ext>
          </a:extLst>
        </xdr:cNvPr>
        <xdr:cNvCxnSpPr/>
      </xdr:nvCxnSpPr>
      <xdr:spPr>
        <a:xfrm>
          <a:off x="2389243" y="36992261"/>
          <a:ext cx="358589" cy="7471"/>
        </a:xfrm>
        <a:prstGeom prst="straightConnector1">
          <a:avLst/>
        </a:prstGeom>
        <a:noFill/>
        <a:ln w="28575" cap="flat" cmpd="sng" algn="ctr">
          <a:solidFill>
            <a:srgbClr val="FF0000"/>
          </a:solidFill>
          <a:prstDash val="solid"/>
          <a:tailEnd type="triangle"/>
        </a:ln>
        <a:effectLst/>
      </xdr:spPr>
    </xdr:cxnSp>
    <xdr:clientData/>
  </xdr:twoCellAnchor>
  <xdr:twoCellAnchor>
    <xdr:from>
      <xdr:col>4</xdr:col>
      <xdr:colOff>212162</xdr:colOff>
      <xdr:row>182</xdr:row>
      <xdr:rowOff>152400</xdr:rowOff>
    </xdr:from>
    <xdr:to>
      <xdr:col>4</xdr:col>
      <xdr:colOff>570751</xdr:colOff>
      <xdr:row>182</xdr:row>
      <xdr:rowOff>159871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0341ECC3-D723-4E13-8C4F-E7468D7DED91}"/>
            </a:ext>
          </a:extLst>
        </xdr:cNvPr>
        <xdr:cNvCxnSpPr/>
      </xdr:nvCxnSpPr>
      <xdr:spPr>
        <a:xfrm>
          <a:off x="2429582" y="37261800"/>
          <a:ext cx="358589" cy="7471"/>
        </a:xfrm>
        <a:prstGeom prst="straightConnector1">
          <a:avLst/>
        </a:prstGeom>
        <a:noFill/>
        <a:ln w="28575" cap="flat" cmpd="sng" algn="ctr">
          <a:solidFill>
            <a:srgbClr val="FF0000"/>
          </a:solidFill>
          <a:prstDash val="solid"/>
          <a:tailEnd type="triangle"/>
        </a:ln>
        <a:effectLst/>
      </xdr:spPr>
    </xdr:cxnSp>
    <xdr:clientData/>
  </xdr:twoCellAnchor>
  <xdr:twoCellAnchor>
    <xdr:from>
      <xdr:col>4</xdr:col>
      <xdr:colOff>110565</xdr:colOff>
      <xdr:row>183</xdr:row>
      <xdr:rowOff>132976</xdr:rowOff>
    </xdr:from>
    <xdr:to>
      <xdr:col>4</xdr:col>
      <xdr:colOff>469154</xdr:colOff>
      <xdr:row>183</xdr:row>
      <xdr:rowOff>140447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FEFE129B-4210-463F-AA9E-C639FB112EE1}"/>
            </a:ext>
          </a:extLst>
        </xdr:cNvPr>
        <xdr:cNvCxnSpPr/>
      </xdr:nvCxnSpPr>
      <xdr:spPr>
        <a:xfrm>
          <a:off x="2327985" y="37501456"/>
          <a:ext cx="358589" cy="7471"/>
        </a:xfrm>
        <a:prstGeom prst="straightConnector1">
          <a:avLst/>
        </a:prstGeom>
        <a:noFill/>
        <a:ln w="28575" cap="flat" cmpd="sng" algn="ctr">
          <a:solidFill>
            <a:srgbClr val="FF0000"/>
          </a:solidFill>
          <a:prstDash val="solid"/>
          <a:tailEnd type="triangle"/>
        </a:ln>
        <a:effectLst/>
      </xdr:spPr>
    </xdr:cxnSp>
    <xdr:clientData/>
  </xdr:twoCellAnchor>
  <xdr:twoCellAnchor>
    <xdr:from>
      <xdr:col>3</xdr:col>
      <xdr:colOff>29882</xdr:colOff>
      <xdr:row>203</xdr:row>
      <xdr:rowOff>216647</xdr:rowOff>
    </xdr:from>
    <xdr:to>
      <xdr:col>3</xdr:col>
      <xdr:colOff>635000</xdr:colOff>
      <xdr:row>205</xdr:row>
      <xdr:rowOff>239059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48C66846-DC9A-4C50-8678-5D131B7DD86E}"/>
            </a:ext>
          </a:extLst>
        </xdr:cNvPr>
        <xdr:cNvCxnSpPr/>
      </xdr:nvCxnSpPr>
      <xdr:spPr>
        <a:xfrm>
          <a:off x="1561502" y="41440847"/>
          <a:ext cx="605118" cy="555812"/>
        </a:xfrm>
        <a:prstGeom prst="straightConnector1">
          <a:avLst/>
        </a:prstGeom>
        <a:noFill/>
        <a:ln w="28575" cap="flat" cmpd="sng" algn="ctr">
          <a:solidFill>
            <a:srgbClr val="FF0000"/>
          </a:solidFill>
          <a:prstDash val="solid"/>
          <a:tailEnd type="triangle"/>
        </a:ln>
        <a:effectLst/>
      </xdr:spPr>
    </xdr:cxnSp>
    <xdr:clientData/>
  </xdr:twoCellAnchor>
  <xdr:twoCellAnchor>
    <xdr:from>
      <xdr:col>1</xdr:col>
      <xdr:colOff>0</xdr:colOff>
      <xdr:row>165</xdr:row>
      <xdr:rowOff>0</xdr:rowOff>
    </xdr:from>
    <xdr:to>
      <xdr:col>17</xdr:col>
      <xdr:colOff>679451</xdr:colOff>
      <xdr:row>177</xdr:row>
      <xdr:rowOff>55963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6CD9309A-C916-4ED1-8B87-E6D4E30C0079}"/>
            </a:ext>
          </a:extLst>
        </xdr:cNvPr>
        <xdr:cNvGrpSpPr/>
      </xdr:nvGrpSpPr>
      <xdr:grpSpPr>
        <a:xfrm>
          <a:off x="161365" y="34406541"/>
          <a:ext cx="11723968" cy="2207493"/>
          <a:chOff x="156882" y="33692353"/>
          <a:chExt cx="11676157" cy="2207492"/>
        </a:xfrm>
      </xdr:grpSpPr>
      <xdr:sp macro="" textlink="">
        <xdr:nvSpPr>
          <xdr:cNvPr id="30" name="TextBox 3">
            <a:extLst>
              <a:ext uri="{FF2B5EF4-FFF2-40B4-BE49-F238E27FC236}">
                <a16:creationId xmlns:a16="http://schemas.microsoft.com/office/drawing/2014/main" id="{BFABCD07-DE37-43DC-9E8A-4D3FAD426DEF}"/>
              </a:ext>
            </a:extLst>
          </xdr:cNvPr>
          <xdr:cNvSpPr txBox="1"/>
        </xdr:nvSpPr>
        <xdr:spPr>
          <a:xfrm>
            <a:off x="156882" y="33692353"/>
            <a:ext cx="11676156" cy="531532"/>
          </a:xfrm>
          <a:prstGeom prst="rect">
            <a:avLst/>
          </a:prstGeom>
          <a:solidFill>
            <a:sysClr val="windowText" lastClr="000000"/>
          </a:solidFill>
          <a:ln w="3175">
            <a:noFill/>
          </a:ln>
        </xdr:spPr>
        <xdr:txBody>
          <a:bodyPr wrap="square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120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2900" b="1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Franklin Gothic Heavy" panose="020B0903020102020204" pitchFamily="34" charset="0"/>
                <a:ea typeface="+mn-ea"/>
                <a:cs typeface="+mn-cs"/>
              </a:rPr>
              <a:t>REFERENCE</a:t>
            </a:r>
          </a:p>
        </xdr:txBody>
      </xdr:sp>
      <xdr:sp macro="" textlink="">
        <xdr:nvSpPr>
          <xdr:cNvPr id="31" name="TextBox 3">
            <a:extLst>
              <a:ext uri="{FF2B5EF4-FFF2-40B4-BE49-F238E27FC236}">
                <a16:creationId xmlns:a16="http://schemas.microsoft.com/office/drawing/2014/main" id="{C6BFAA59-DC4A-4A3B-A1DE-A91461CDE1D2}"/>
              </a:ext>
            </a:extLst>
          </xdr:cNvPr>
          <xdr:cNvSpPr txBox="1"/>
        </xdr:nvSpPr>
        <xdr:spPr>
          <a:xfrm>
            <a:off x="156882" y="34409529"/>
            <a:ext cx="11676157" cy="1487262"/>
          </a:xfrm>
          <a:prstGeom prst="rect">
            <a:avLst/>
          </a:prstGeom>
          <a:solidFill>
            <a:srgbClr val="E6E6E6"/>
          </a:solidFill>
          <a:ln w="3175">
            <a:noFill/>
          </a:ln>
        </xdr:spPr>
        <xdr:txBody>
          <a:bodyPr wrap="square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3500" b="1" i="0" u="none" strike="noStrike" kern="120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/>
              <a:ea typeface="+mn-ea"/>
              <a:cs typeface="+mn-cs"/>
            </a:endParaRPr>
          </a:p>
        </xdr:txBody>
      </xdr:sp>
      <xdr:pic>
        <xdr:nvPicPr>
          <xdr:cNvPr id="32" name="Picture 31">
            <a:extLst>
              <a:ext uri="{FF2B5EF4-FFF2-40B4-BE49-F238E27FC236}">
                <a16:creationId xmlns:a16="http://schemas.microsoft.com/office/drawing/2014/main" id="{234E8704-C7BC-4445-B87D-15F55BADD788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screen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156882" y="34409529"/>
            <a:ext cx="2188882" cy="1490316"/>
          </a:xfrm>
          <a:prstGeom prst="rect">
            <a:avLst/>
          </a:prstGeom>
        </xdr:spPr>
      </xdr:pic>
      <xdr:sp macro="" textlink="">
        <xdr:nvSpPr>
          <xdr:cNvPr id="33" name="TextBox 3">
            <a:extLst>
              <a:ext uri="{FF2B5EF4-FFF2-40B4-BE49-F238E27FC236}">
                <a16:creationId xmlns:a16="http://schemas.microsoft.com/office/drawing/2014/main" id="{385BB65A-001B-4261-BAD9-E6F088FCF0BC}"/>
              </a:ext>
            </a:extLst>
          </xdr:cNvPr>
          <xdr:cNvSpPr txBox="1"/>
        </xdr:nvSpPr>
        <xdr:spPr>
          <a:xfrm>
            <a:off x="2405529" y="34409529"/>
            <a:ext cx="9383059" cy="1487262"/>
          </a:xfrm>
          <a:prstGeom prst="rect">
            <a:avLst/>
          </a:prstGeom>
          <a:noFill/>
          <a:ln w="3175">
            <a:noFill/>
          </a:ln>
        </xdr:spPr>
        <xdr:txBody>
          <a:bodyPr wrap="square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800" b="0" i="0" u="none" strike="noStrike" kern="1200" cap="none" spc="0" normalizeH="0" baseline="0" noProof="0">
                <a:ln>
                  <a:noFill/>
                </a:ln>
                <a:solidFill>
                  <a:srgbClr val="E7E6E6">
                    <a:lumMod val="25000"/>
                  </a:srgbClr>
                </a:solidFill>
                <a:effectLst/>
                <a:uLnTx/>
                <a:uFillTx/>
                <a:latin typeface="Arial" panose="020B0604020202020204"/>
                <a:ea typeface="+mn-ea"/>
                <a:cs typeface="+mn-cs"/>
              </a:rPr>
              <a:t>Extend the standard Excel formula auditing functions to all selected cells</a:t>
            </a:r>
            <a:endParaRPr kumimoji="0" lang="en-US" sz="3500" b="1" i="0" u="none" strike="noStrike" kern="120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</xdr:col>
      <xdr:colOff>0</xdr:colOff>
      <xdr:row>62</xdr:row>
      <xdr:rowOff>97115</xdr:rowOff>
    </xdr:from>
    <xdr:to>
      <xdr:col>17</xdr:col>
      <xdr:colOff>679450</xdr:colOff>
      <xdr:row>71</xdr:row>
      <xdr:rowOff>67236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5BAE25A3-E42B-4B06-8A88-C5AF798E815A}"/>
            </a:ext>
          </a:extLst>
        </xdr:cNvPr>
        <xdr:cNvGrpSpPr/>
      </xdr:nvGrpSpPr>
      <xdr:grpSpPr>
        <a:xfrm>
          <a:off x="161365" y="12719421"/>
          <a:ext cx="11723967" cy="1583768"/>
          <a:chOff x="156882" y="12408644"/>
          <a:chExt cx="11676156" cy="1583768"/>
        </a:xfrm>
      </xdr:grpSpPr>
      <xdr:sp macro="" textlink="">
        <xdr:nvSpPr>
          <xdr:cNvPr id="35" name="TextBox 3">
            <a:extLst>
              <a:ext uri="{FF2B5EF4-FFF2-40B4-BE49-F238E27FC236}">
                <a16:creationId xmlns:a16="http://schemas.microsoft.com/office/drawing/2014/main" id="{9886728A-C00F-463B-A660-7F9631D1D77D}"/>
              </a:ext>
            </a:extLst>
          </xdr:cNvPr>
          <xdr:cNvSpPr txBox="1"/>
        </xdr:nvSpPr>
        <xdr:spPr>
          <a:xfrm>
            <a:off x="156882" y="12737353"/>
            <a:ext cx="11676156" cy="1255059"/>
          </a:xfrm>
          <a:prstGeom prst="rect">
            <a:avLst/>
          </a:prstGeom>
          <a:solidFill>
            <a:srgbClr val="FF0000"/>
          </a:solidFill>
          <a:ln w="3175">
            <a:noFill/>
          </a:ln>
        </xdr:spPr>
        <xdr:txBody>
          <a:bodyPr wrap="square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120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4500" b="1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Franklin Gothic Heavy" panose="020B0903020102020204" pitchFamily="34" charset="0"/>
                <a:ea typeface="+mn-ea"/>
                <a:cs typeface="+mn-cs"/>
              </a:rPr>
              <a:t>WARNING!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120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Franklin Gothic Heavy" panose="020B0903020102020204" pitchFamily="34" charset="0"/>
                <a:ea typeface="+mn-ea"/>
                <a:cs typeface="+mn-cs"/>
              </a:rPr>
              <a:t>There is no UNDO after executing a NEAT function. Always save before trying something new!</a:t>
            </a:r>
          </a:p>
        </xdr:txBody>
      </xdr:sp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5DDC7F32-4499-46DE-A543-3BA8E85E83E9}"/>
              </a:ext>
            </a:extLst>
          </xdr:cNvPr>
          <xdr:cNvGrpSpPr/>
        </xdr:nvGrpSpPr>
        <xdr:grpSpPr>
          <a:xfrm>
            <a:off x="239057" y="12408644"/>
            <a:ext cx="1098177" cy="1055935"/>
            <a:chOff x="12169588" y="12856882"/>
            <a:chExt cx="1098177" cy="1055935"/>
          </a:xfrm>
        </xdr:grpSpPr>
        <xdr:sp macro="" textlink="">
          <xdr:nvSpPr>
            <xdr:cNvPr id="40" name="Isosceles Triangle 39">
              <a:extLst>
                <a:ext uri="{FF2B5EF4-FFF2-40B4-BE49-F238E27FC236}">
                  <a16:creationId xmlns:a16="http://schemas.microsoft.com/office/drawing/2014/main" id="{3E93F709-4EA3-4FC7-BA4E-87B2D8BE6FFF}"/>
                </a:ext>
              </a:extLst>
            </xdr:cNvPr>
            <xdr:cNvSpPr/>
          </xdr:nvSpPr>
          <xdr:spPr>
            <a:xfrm>
              <a:off x="12169588" y="12856882"/>
              <a:ext cx="1098177" cy="933823"/>
            </a:xfrm>
            <a:prstGeom prst="triangle">
              <a:avLst/>
            </a:prstGeom>
            <a:solidFill>
              <a:srgbClr val="FFC000"/>
            </a:solidFill>
            <a:ln w="3175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txBody>
            <a:bodyPr wrap="square" rtlCol="0" anchor="t">
              <a:noAutofit/>
            </a:bodyPr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120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sz="2400" b="1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Franklin Gothic Heavy" panose="020B0903020102020204" pitchFamily="34" charset="0"/>
                <a:ea typeface="+mn-ea"/>
                <a:cs typeface="+mn-cs"/>
              </a:endParaRPr>
            </a:p>
          </xdr:txBody>
        </xdr:sp>
        <xdr:sp macro="" textlink="">
          <xdr:nvSpPr>
            <xdr:cNvPr id="41" name="TextBox 40">
              <a:extLst>
                <a:ext uri="{FF2B5EF4-FFF2-40B4-BE49-F238E27FC236}">
                  <a16:creationId xmlns:a16="http://schemas.microsoft.com/office/drawing/2014/main" id="{AA1998A4-3542-4369-A670-5D299F98D748}"/>
                </a:ext>
              </a:extLst>
            </xdr:cNvPr>
            <xdr:cNvSpPr txBox="1"/>
          </xdr:nvSpPr>
          <xdr:spPr>
            <a:xfrm>
              <a:off x="12504803" y="12931586"/>
              <a:ext cx="427746" cy="981231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none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60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Franklin Gothic Heavy" panose="020B0903020102020204" pitchFamily="34" charset="0"/>
                  <a:ea typeface="+mn-ea"/>
                  <a:cs typeface="+mn-cs"/>
                </a:rPr>
                <a:t>!</a:t>
              </a:r>
              <a:endParaRPr kumimoji="0" lang="en-US" sz="6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Arial" panose="020B0604020202020204"/>
                <a:ea typeface="+mn-ea"/>
                <a:cs typeface="+mn-cs"/>
              </a:endParaRPr>
            </a:p>
          </xdr:txBody>
        </xdr:sp>
      </xdr:grp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F204DACE-467D-488B-B2C2-7A4A5DF10B59}"/>
              </a:ext>
            </a:extLst>
          </xdr:cNvPr>
          <xdr:cNvGrpSpPr/>
        </xdr:nvGrpSpPr>
        <xdr:grpSpPr>
          <a:xfrm>
            <a:off x="10660534" y="12408644"/>
            <a:ext cx="1098177" cy="1055935"/>
            <a:chOff x="12169588" y="12856882"/>
            <a:chExt cx="1098177" cy="1055935"/>
          </a:xfrm>
        </xdr:grpSpPr>
        <xdr:sp macro="" textlink="">
          <xdr:nvSpPr>
            <xdr:cNvPr id="38" name="Isosceles Triangle 37">
              <a:extLst>
                <a:ext uri="{FF2B5EF4-FFF2-40B4-BE49-F238E27FC236}">
                  <a16:creationId xmlns:a16="http://schemas.microsoft.com/office/drawing/2014/main" id="{7AEB2C34-06F0-415E-8CAE-80E4B71CF629}"/>
                </a:ext>
              </a:extLst>
            </xdr:cNvPr>
            <xdr:cNvSpPr/>
          </xdr:nvSpPr>
          <xdr:spPr>
            <a:xfrm>
              <a:off x="12169588" y="12856882"/>
              <a:ext cx="1098177" cy="933823"/>
            </a:xfrm>
            <a:prstGeom prst="triangle">
              <a:avLst/>
            </a:prstGeom>
            <a:solidFill>
              <a:srgbClr val="FFC000"/>
            </a:solidFill>
            <a:ln w="3175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txBody>
            <a:bodyPr wrap="square" rtlCol="0" anchor="t">
              <a:noAutofit/>
            </a:bodyPr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120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sz="2400" b="1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Franklin Gothic Heavy" panose="020B0903020102020204" pitchFamily="34" charset="0"/>
                <a:ea typeface="+mn-ea"/>
                <a:cs typeface="+mn-cs"/>
              </a:endParaRPr>
            </a:p>
          </xdr:txBody>
        </xdr:sp>
        <xdr:sp macro="" textlink="">
          <xdr:nvSpPr>
            <xdr:cNvPr id="39" name="TextBox 38">
              <a:extLst>
                <a:ext uri="{FF2B5EF4-FFF2-40B4-BE49-F238E27FC236}">
                  <a16:creationId xmlns:a16="http://schemas.microsoft.com/office/drawing/2014/main" id="{80733A38-A9E5-4E21-AF02-8B932CF9ACB3}"/>
                </a:ext>
              </a:extLst>
            </xdr:cNvPr>
            <xdr:cNvSpPr txBox="1"/>
          </xdr:nvSpPr>
          <xdr:spPr>
            <a:xfrm>
              <a:off x="12504803" y="12931586"/>
              <a:ext cx="427746" cy="981231"/>
            </a:xfrm>
            <a:prstGeom prst="rect">
              <a:avLst/>
            </a:prstGeom>
            <a:noFill/>
            <a:ln>
              <a:noFill/>
            </a:ln>
            <a:effectLst/>
          </xdr:spPr>
          <xdr:txBody>
            <a:bodyPr vertOverflow="clip" horzOverflow="clip" wrap="none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60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Franklin Gothic Heavy" panose="020B0903020102020204" pitchFamily="34" charset="0"/>
                  <a:ea typeface="+mn-ea"/>
                  <a:cs typeface="+mn-cs"/>
                </a:rPr>
                <a:t>!</a:t>
              </a:r>
              <a:endParaRPr kumimoji="0" lang="en-US" sz="6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Arial" panose="020B0604020202020204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2</xdr:col>
      <xdr:colOff>597647</xdr:colOff>
      <xdr:row>150</xdr:row>
      <xdr:rowOff>0</xdr:rowOff>
    </xdr:from>
    <xdr:to>
      <xdr:col>3</xdr:col>
      <xdr:colOff>104588</xdr:colOff>
      <xdr:row>151</xdr:row>
      <xdr:rowOff>14941</xdr:rowOff>
    </xdr:to>
    <xdr:cxnSp macro="">
      <xdr:nvCxnSpPr>
        <xdr:cNvPr id="42" name="Straight Arrow Connector 41">
          <a:extLst>
            <a:ext uri="{FF2B5EF4-FFF2-40B4-BE49-F238E27FC236}">
              <a16:creationId xmlns:a16="http://schemas.microsoft.com/office/drawing/2014/main" id="{0D7C932E-33B0-4837-8A83-4EDC43207EB4}"/>
            </a:ext>
          </a:extLst>
        </xdr:cNvPr>
        <xdr:cNvCxnSpPr/>
      </xdr:nvCxnSpPr>
      <xdr:spPr>
        <a:xfrm>
          <a:off x="1443467" y="30312360"/>
          <a:ext cx="192741" cy="190201"/>
        </a:xfrm>
        <a:prstGeom prst="straightConnector1">
          <a:avLst/>
        </a:prstGeom>
        <a:noFill/>
        <a:ln w="28575" cap="flat" cmpd="sng" algn="ctr">
          <a:solidFill>
            <a:srgbClr val="FF0000"/>
          </a:solidFill>
          <a:prstDash val="solid"/>
          <a:tailEnd type="triangle"/>
        </a:ln>
        <a:effectLst/>
      </xdr:spPr>
    </xdr:cxnSp>
    <xdr:clientData/>
  </xdr:twoCellAnchor>
  <xdr:twoCellAnchor>
    <xdr:from>
      <xdr:col>1</xdr:col>
      <xdr:colOff>330315</xdr:colOff>
      <xdr:row>1</xdr:row>
      <xdr:rowOff>10734</xdr:rowOff>
    </xdr:from>
    <xdr:to>
      <xdr:col>18</xdr:col>
      <xdr:colOff>17556</xdr:colOff>
      <xdr:row>11</xdr:row>
      <xdr:rowOff>152511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8C4AE47B-A771-4656-9A03-13EF8BF8C2C8}"/>
            </a:ext>
          </a:extLst>
        </xdr:cNvPr>
        <xdr:cNvGrpSpPr/>
      </xdr:nvGrpSpPr>
      <xdr:grpSpPr>
        <a:xfrm>
          <a:off x="491680" y="190028"/>
          <a:ext cx="11422041" cy="1934718"/>
          <a:chOff x="486480" y="189946"/>
          <a:chExt cx="11346558" cy="1919941"/>
        </a:xfrm>
      </xdr:grpSpPr>
      <xdr:pic>
        <xdr:nvPicPr>
          <xdr:cNvPr id="44" name="Picture 43">
            <a:extLst>
              <a:ext uri="{FF2B5EF4-FFF2-40B4-BE49-F238E27FC236}">
                <a16:creationId xmlns:a16="http://schemas.microsoft.com/office/drawing/2014/main" id="{4EDF5973-1687-4838-8004-DE6398C457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screen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486480" y="298305"/>
            <a:ext cx="4717013" cy="1703223"/>
          </a:xfrm>
          <a:prstGeom prst="rect">
            <a:avLst/>
          </a:prstGeom>
        </xdr:spPr>
      </xdr:pic>
      <xdr:sp macro="" textlink="">
        <xdr:nvSpPr>
          <xdr:cNvPr id="45" name="TextBox 3">
            <a:extLst>
              <a:ext uri="{FF2B5EF4-FFF2-40B4-BE49-F238E27FC236}">
                <a16:creationId xmlns:a16="http://schemas.microsoft.com/office/drawing/2014/main" id="{8F0F45A2-841C-4AB3-B28C-30B6838B43B6}"/>
              </a:ext>
            </a:extLst>
          </xdr:cNvPr>
          <xdr:cNvSpPr txBox="1"/>
        </xdr:nvSpPr>
        <xdr:spPr>
          <a:xfrm>
            <a:off x="5769535" y="189946"/>
            <a:ext cx="6063503" cy="1919941"/>
          </a:xfrm>
          <a:prstGeom prst="rect">
            <a:avLst/>
          </a:prstGeom>
          <a:solidFill>
            <a:sysClr val="window" lastClr="FFFFFF"/>
          </a:solidFill>
        </xdr:spPr>
        <xdr:txBody>
          <a:bodyPr wrap="square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3500" b="1" i="0" u="none" strike="noStrike" kern="0" cap="none" spc="0" normalizeH="0" baseline="0" noProof="0">
                <a:ln>
                  <a:noFill/>
                </a:ln>
                <a:solidFill>
                  <a:srgbClr val="E7E6E6">
                    <a:lumMod val="25000"/>
                  </a:srgbClr>
                </a:solidFill>
                <a:effectLst/>
                <a:uLnTx/>
                <a:uFillTx/>
                <a:latin typeface="Century Gothic" panose="020B0502020202020204" pitchFamily="34" charset="0"/>
                <a:ea typeface="+mn-ea"/>
                <a:cs typeface="+mn-cs"/>
              </a:rPr>
              <a:t>THANKS FOR INSTALLING!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80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E7E6E6">
                    <a:lumMod val="25000"/>
                  </a:srgbClr>
                </a:solidFill>
                <a:effectLst/>
                <a:uLnTx/>
                <a:uFillTx/>
                <a:latin typeface="Century Gothic" panose="020B0502020202020204" pitchFamily="34" charset="0"/>
                <a:ea typeface="+mn-ea"/>
                <a:cs typeface="+mn-cs"/>
              </a:rPr>
              <a:t>NEAT Add-in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E7E6E6">
                    <a:lumMod val="25000"/>
                  </a:srgbClr>
                </a:solidFill>
                <a:effectLst/>
                <a:uLnTx/>
                <a:uFillTx/>
                <a:latin typeface="Century Gothic" panose="020B0502020202020204" pitchFamily="34" charset="0"/>
                <a:ea typeface="+mn-ea"/>
                <a:cs typeface="+mn-cs"/>
              </a:rPr>
              <a:t>Version 0.9 beta</a:t>
            </a:r>
          </a:p>
        </xdr:txBody>
      </xdr:sp>
    </xdr:grpSp>
    <xdr:clientData/>
  </xdr:twoCellAnchor>
  <xdr:twoCellAnchor>
    <xdr:from>
      <xdr:col>1</xdr:col>
      <xdr:colOff>0</xdr:colOff>
      <xdr:row>15</xdr:row>
      <xdr:rowOff>0</xdr:rowOff>
    </xdr:from>
    <xdr:to>
      <xdr:col>17</xdr:col>
      <xdr:colOff>679450</xdr:colOff>
      <xdr:row>20</xdr:row>
      <xdr:rowOff>147918</xdr:rowOff>
    </xdr:to>
    <xdr:sp macro="" textlink="">
      <xdr:nvSpPr>
        <xdr:cNvPr id="46" name="TextBox 3">
          <a:extLst>
            <a:ext uri="{FF2B5EF4-FFF2-40B4-BE49-F238E27FC236}">
              <a16:creationId xmlns:a16="http://schemas.microsoft.com/office/drawing/2014/main" id="{5BC016C2-0C29-4783-A297-D6C058F398A6}"/>
            </a:ext>
          </a:extLst>
        </xdr:cNvPr>
        <xdr:cNvSpPr txBox="1"/>
      </xdr:nvSpPr>
      <xdr:spPr>
        <a:xfrm>
          <a:off x="160020" y="2628900"/>
          <a:ext cx="11652250" cy="1024218"/>
        </a:xfrm>
        <a:prstGeom prst="rect">
          <a:avLst/>
        </a:prstGeom>
        <a:solidFill>
          <a:sysClr val="window" lastClr="FFFFFF"/>
        </a:solidFill>
        <a:ln w="3175">
          <a:noFill/>
        </a:ln>
      </xdr:spPr>
      <xdr:txBody>
        <a:bodyPr wrap="square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1200"/>
            </a:spcAft>
            <a:buClrTx/>
            <a:buSzTx/>
            <a:buFontTx/>
            <a:buNone/>
            <a:tabLst/>
            <a:defRPr/>
          </a:pPr>
          <a:r>
            <a:rPr kumimoji="0" lang="en-US" sz="5000" b="1" i="0" u="none" strike="noStrike" kern="1200" cap="none" spc="0" normalizeH="0" baseline="0" noProof="0">
              <a:ln>
                <a:noFill/>
              </a:ln>
              <a:solidFill>
                <a:srgbClr val="E7E6E6">
                  <a:lumMod val="25000"/>
                </a:srgbClr>
              </a:solidFill>
              <a:effectLst/>
              <a:uLnTx/>
              <a:uFillTx/>
              <a:latin typeface="Franklin Gothic Heavy" panose="020B0903020102020204" pitchFamily="34" charset="0"/>
              <a:ea typeface="+mn-ea"/>
              <a:cs typeface="+mn-cs"/>
            </a:rPr>
            <a:t>FIRST STEPS AND BASIC FUNCTIONS</a:t>
          </a:r>
        </a:p>
      </xdr:txBody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17</xdr:col>
      <xdr:colOff>671038</xdr:colOff>
      <xdr:row>29</xdr:row>
      <xdr:rowOff>48326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DEBF2E0A-E05A-4985-8130-C9D61D407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0020" y="3947160"/>
          <a:ext cx="11643838" cy="1275146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134</xdr:row>
      <xdr:rowOff>0</xdr:rowOff>
    </xdr:from>
    <xdr:to>
      <xdr:col>17</xdr:col>
      <xdr:colOff>679451</xdr:colOff>
      <xdr:row>146</xdr:row>
      <xdr:rowOff>54626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27CA68FB-9656-4EC9-9984-CA827257999C}"/>
            </a:ext>
          </a:extLst>
        </xdr:cNvPr>
        <xdr:cNvGrpSpPr/>
      </xdr:nvGrpSpPr>
      <xdr:grpSpPr>
        <a:xfrm>
          <a:off x="161365" y="27790588"/>
          <a:ext cx="11723968" cy="2206156"/>
          <a:chOff x="257921" y="2326768"/>
          <a:chExt cx="11676157" cy="2206156"/>
        </a:xfrm>
      </xdr:grpSpPr>
      <xdr:sp macro="" textlink="">
        <xdr:nvSpPr>
          <xdr:cNvPr id="49" name="TextBox 3">
            <a:extLst>
              <a:ext uri="{FF2B5EF4-FFF2-40B4-BE49-F238E27FC236}">
                <a16:creationId xmlns:a16="http://schemas.microsoft.com/office/drawing/2014/main" id="{C76CCC49-23B7-4741-A4CA-FBFBCDA8B7D9}"/>
              </a:ext>
            </a:extLst>
          </xdr:cNvPr>
          <xdr:cNvSpPr txBox="1"/>
        </xdr:nvSpPr>
        <xdr:spPr>
          <a:xfrm>
            <a:off x="257921" y="2326768"/>
            <a:ext cx="11676156" cy="531538"/>
          </a:xfrm>
          <a:prstGeom prst="rect">
            <a:avLst/>
          </a:prstGeom>
          <a:solidFill>
            <a:sysClr val="windowText" lastClr="000000"/>
          </a:solidFill>
          <a:ln w="3175">
            <a:noFill/>
          </a:ln>
        </xdr:spPr>
        <xdr:txBody>
          <a:bodyPr wrap="square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120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2900" b="1" i="0" u="none" strike="noStrike" kern="120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Franklin Gothic Heavy" panose="020B0903020102020204" pitchFamily="34" charset="0"/>
                <a:ea typeface="+mn-ea"/>
                <a:cs typeface="+mn-cs"/>
              </a:rPr>
              <a:t>FORMAT NUMBERS</a:t>
            </a:r>
          </a:p>
        </xdr:txBody>
      </xdr:sp>
      <xdr:sp macro="" textlink="">
        <xdr:nvSpPr>
          <xdr:cNvPr id="50" name="TextBox 3">
            <a:extLst>
              <a:ext uri="{FF2B5EF4-FFF2-40B4-BE49-F238E27FC236}">
                <a16:creationId xmlns:a16="http://schemas.microsoft.com/office/drawing/2014/main" id="{10F33294-1850-41F4-8AE3-8F4550011749}"/>
              </a:ext>
            </a:extLst>
          </xdr:cNvPr>
          <xdr:cNvSpPr txBox="1"/>
        </xdr:nvSpPr>
        <xdr:spPr>
          <a:xfrm>
            <a:off x="257921" y="3043952"/>
            <a:ext cx="11676157" cy="1487279"/>
          </a:xfrm>
          <a:prstGeom prst="rect">
            <a:avLst/>
          </a:prstGeom>
          <a:solidFill>
            <a:srgbClr val="E6E6E6"/>
          </a:solidFill>
          <a:ln w="3175">
            <a:noFill/>
          </a:ln>
        </xdr:spPr>
        <xdr:txBody>
          <a:bodyPr wrap="square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3500" b="1" i="0" u="none" strike="noStrike" kern="120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/>
              <a:ea typeface="+mn-ea"/>
              <a:cs typeface="+mn-cs"/>
            </a:endParaRPr>
          </a:p>
        </xdr:txBody>
      </xdr:sp>
      <xdr:pic>
        <xdr:nvPicPr>
          <xdr:cNvPr id="51" name="Picture 50">
            <a:extLst>
              <a:ext uri="{FF2B5EF4-FFF2-40B4-BE49-F238E27FC236}">
                <a16:creationId xmlns:a16="http://schemas.microsoft.com/office/drawing/2014/main" id="{56B50448-D695-4039-8585-DD5A4F902DC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 cstate="screen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257921" y="3043949"/>
            <a:ext cx="3461048" cy="1488975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22412</xdr:colOff>
      <xdr:row>150</xdr:row>
      <xdr:rowOff>0</xdr:rowOff>
    </xdr:from>
    <xdr:to>
      <xdr:col>8</xdr:col>
      <xdr:colOff>268942</xdr:colOff>
      <xdr:row>150</xdr:row>
      <xdr:rowOff>175559</xdr:rowOff>
    </xdr:to>
    <xdr:cxnSp macro="">
      <xdr:nvCxnSpPr>
        <xdr:cNvPr id="52" name="Straight Arrow Connector 51">
          <a:extLst>
            <a:ext uri="{FF2B5EF4-FFF2-40B4-BE49-F238E27FC236}">
              <a16:creationId xmlns:a16="http://schemas.microsoft.com/office/drawing/2014/main" id="{0521BFD0-343F-4264-90F0-692EFAE7FDE5}"/>
            </a:ext>
          </a:extLst>
        </xdr:cNvPr>
        <xdr:cNvCxnSpPr/>
      </xdr:nvCxnSpPr>
      <xdr:spPr>
        <a:xfrm flipH="1">
          <a:off x="4983032" y="30312360"/>
          <a:ext cx="246530" cy="175559"/>
        </a:xfrm>
        <a:prstGeom prst="straightConnector1">
          <a:avLst/>
        </a:prstGeom>
        <a:noFill/>
        <a:ln w="28575" cap="flat" cmpd="sng" algn="ctr">
          <a:solidFill>
            <a:srgbClr val="FF0000"/>
          </a:solidFill>
          <a:prstDash val="solid"/>
          <a:tailEnd type="triangle"/>
        </a:ln>
        <a:effectLst/>
      </xdr:spPr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mailto:contact@neataddin.com" TargetMode="External"/><Relationship Id="rId1" Type="http://schemas.openxmlformats.org/officeDocument/2006/relationships/hyperlink" Target="http://www.neataddin.com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26"/>
  <sheetViews>
    <sheetView showGridLines="0" showRowColHeaders="0" tabSelected="1" zoomScale="85" zoomScaleNormal="85" workbookViewId="0">
      <selection activeCell="K1" sqref="K1"/>
    </sheetView>
  </sheetViews>
  <sheetFormatPr defaultColWidth="0" defaultRowHeight="13.5" zeroHeight="1" x14ac:dyDescent="0.35"/>
  <cols>
    <col min="1" max="1" width="2.125" customWidth="1"/>
    <col min="2" max="10" width="9" customWidth="1"/>
    <col min="11" max="11" width="2.125" customWidth="1"/>
    <col min="12" max="13" width="0" hidden="1" customWidth="1"/>
    <col min="14" max="16384" width="9" hidden="1"/>
  </cols>
  <sheetData>
    <row r="1" spans="1:11" s="43" customFormat="1" ht="6.4" x14ac:dyDescent="0.35">
      <c r="A1" s="40"/>
      <c r="B1" s="41"/>
      <c r="C1" s="41"/>
      <c r="D1" s="41"/>
      <c r="E1" s="41"/>
      <c r="F1" s="41"/>
      <c r="G1" s="41"/>
      <c r="H1" s="41"/>
      <c r="I1" s="41"/>
      <c r="J1" s="41"/>
      <c r="K1" s="42"/>
    </row>
    <row r="2" spans="1:11" s="51" customFormat="1" ht="15" x14ac:dyDescent="0.4">
      <c r="A2" s="47"/>
      <c r="B2" s="48" t="s">
        <v>56</v>
      </c>
      <c r="C2" s="49"/>
      <c r="D2" s="49"/>
      <c r="E2" s="49"/>
      <c r="F2" s="49"/>
      <c r="G2" s="49"/>
      <c r="H2" s="49"/>
      <c r="I2" s="49"/>
      <c r="J2" s="49"/>
      <c r="K2" s="50"/>
    </row>
    <row r="3" spans="1:11" s="43" customFormat="1" ht="6.4" x14ac:dyDescent="0.35">
      <c r="A3" s="44"/>
      <c r="B3" s="45"/>
      <c r="C3" s="45"/>
      <c r="D3" s="45"/>
      <c r="E3" s="45"/>
      <c r="F3" s="45"/>
      <c r="G3" s="45"/>
      <c r="H3" s="45"/>
      <c r="I3" s="45"/>
      <c r="J3" s="45"/>
      <c r="K3" s="46"/>
    </row>
    <row r="4" spans="1:11" x14ac:dyDescent="0.35">
      <c r="A4" s="28"/>
      <c r="B4" s="29"/>
      <c r="C4" s="29"/>
      <c r="D4" s="29"/>
      <c r="E4" s="29"/>
      <c r="F4" s="29"/>
      <c r="G4" s="29"/>
      <c r="H4" s="29"/>
      <c r="I4" s="29"/>
      <c r="J4" s="29"/>
      <c r="K4" s="30"/>
    </row>
    <row r="5" spans="1:11" x14ac:dyDescent="0.35">
      <c r="A5" s="31"/>
      <c r="B5" s="32"/>
      <c r="C5" s="32"/>
      <c r="D5" s="32"/>
      <c r="E5" s="32"/>
      <c r="F5" s="32"/>
      <c r="G5" s="32"/>
      <c r="H5" s="32"/>
      <c r="I5" s="32"/>
      <c r="J5" s="32"/>
      <c r="K5" s="33"/>
    </row>
    <row r="6" spans="1:11" x14ac:dyDescent="0.35">
      <c r="A6" s="31"/>
      <c r="B6" s="32"/>
      <c r="C6" s="32"/>
      <c r="D6" s="32"/>
      <c r="E6" s="32"/>
      <c r="F6" s="32"/>
      <c r="G6" s="32"/>
      <c r="H6" s="32"/>
      <c r="I6" s="32"/>
      <c r="J6" s="32"/>
      <c r="K6" s="33"/>
    </row>
    <row r="7" spans="1:11" x14ac:dyDescent="0.35">
      <c r="A7" s="31"/>
      <c r="B7" s="32"/>
      <c r="C7" s="32"/>
      <c r="D7" s="32"/>
      <c r="E7" s="32"/>
      <c r="F7" s="32"/>
      <c r="G7" s="32"/>
      <c r="H7" s="32"/>
      <c r="I7" s="32"/>
      <c r="J7" s="32"/>
      <c r="K7" s="33"/>
    </row>
    <row r="8" spans="1:11" x14ac:dyDescent="0.35">
      <c r="A8" s="31"/>
      <c r="B8" s="32"/>
      <c r="C8" s="32"/>
      <c r="D8" s="32"/>
      <c r="E8" s="32"/>
      <c r="F8" s="32"/>
      <c r="G8" s="32"/>
      <c r="H8" s="32"/>
      <c r="I8" s="32"/>
      <c r="J8" s="32"/>
      <c r="K8" s="33"/>
    </row>
    <row r="9" spans="1:11" x14ac:dyDescent="0.35">
      <c r="A9" s="31"/>
      <c r="B9" s="32"/>
      <c r="C9" s="32"/>
      <c r="D9" s="32"/>
      <c r="E9" s="32"/>
      <c r="F9" s="32"/>
      <c r="G9" s="32"/>
      <c r="H9" s="32"/>
      <c r="I9" s="32"/>
      <c r="J9" s="32"/>
      <c r="K9" s="33"/>
    </row>
    <row r="10" spans="1:11" x14ac:dyDescent="0.35">
      <c r="A10" s="31"/>
      <c r="B10" s="32"/>
      <c r="C10" s="32"/>
      <c r="D10" s="32"/>
      <c r="E10" s="32"/>
      <c r="F10" s="32"/>
      <c r="G10" s="32"/>
      <c r="H10" s="32"/>
      <c r="I10" s="32"/>
      <c r="J10" s="32"/>
      <c r="K10" s="33"/>
    </row>
    <row r="11" spans="1:11" x14ac:dyDescent="0.35">
      <c r="A11" s="31"/>
      <c r="B11" s="32"/>
      <c r="C11" s="32"/>
      <c r="D11" s="32"/>
      <c r="E11" s="32"/>
      <c r="F11" s="32"/>
      <c r="G11" s="32"/>
      <c r="H11" s="32"/>
      <c r="I11" s="32"/>
      <c r="J11" s="32"/>
      <c r="K11" s="33"/>
    </row>
    <row r="12" spans="1:11" x14ac:dyDescent="0.35">
      <c r="A12" s="31"/>
      <c r="B12" s="32"/>
      <c r="C12" s="32"/>
      <c r="D12" s="32"/>
      <c r="E12" s="32"/>
      <c r="F12" s="32"/>
      <c r="G12" s="32"/>
      <c r="H12" s="32"/>
      <c r="I12" s="32"/>
      <c r="J12" s="32"/>
      <c r="K12" s="33"/>
    </row>
    <row r="13" spans="1:11" x14ac:dyDescent="0.35">
      <c r="A13" s="31"/>
      <c r="B13" s="32"/>
      <c r="C13" s="32"/>
      <c r="D13" s="32"/>
      <c r="E13" s="32"/>
      <c r="F13" s="32"/>
      <c r="G13" s="32"/>
      <c r="H13" s="32"/>
      <c r="I13" s="32"/>
      <c r="J13" s="32"/>
      <c r="K13" s="33"/>
    </row>
    <row r="14" spans="1:11" x14ac:dyDescent="0.35">
      <c r="A14" s="31"/>
      <c r="B14" s="32"/>
      <c r="C14" s="32"/>
      <c r="D14" s="32"/>
      <c r="E14" s="32"/>
      <c r="F14" s="32"/>
      <c r="G14" s="32"/>
      <c r="H14" s="32"/>
      <c r="I14" s="32"/>
      <c r="J14" s="32"/>
      <c r="K14" s="33"/>
    </row>
    <row r="15" spans="1:11" x14ac:dyDescent="0.35">
      <c r="A15" s="31"/>
      <c r="B15" s="32"/>
      <c r="C15" s="32"/>
      <c r="D15" s="32"/>
      <c r="E15" s="32"/>
      <c r="F15" s="32"/>
      <c r="G15" s="32"/>
      <c r="H15" s="32"/>
      <c r="I15" s="32"/>
      <c r="J15" s="32"/>
      <c r="K15" s="33"/>
    </row>
    <row r="16" spans="1:11" x14ac:dyDescent="0.35">
      <c r="A16" s="31"/>
      <c r="B16" s="32"/>
      <c r="C16" s="32"/>
      <c r="D16" s="32"/>
      <c r="E16" s="32"/>
      <c r="F16" s="32"/>
      <c r="G16" s="32"/>
      <c r="H16" s="32"/>
      <c r="I16" s="32"/>
      <c r="J16" s="32"/>
      <c r="K16" s="33"/>
    </row>
    <row r="17" spans="1:11" x14ac:dyDescent="0.35">
      <c r="A17" s="31"/>
      <c r="B17" s="32"/>
      <c r="C17" s="32"/>
      <c r="D17" s="32"/>
      <c r="E17" s="32"/>
      <c r="F17" s="32"/>
      <c r="G17" s="32"/>
      <c r="H17" s="32"/>
      <c r="I17" s="32"/>
      <c r="J17" s="32"/>
      <c r="K17" s="33"/>
    </row>
    <row r="18" spans="1:11" x14ac:dyDescent="0.35">
      <c r="A18" s="31"/>
      <c r="B18" s="32"/>
      <c r="C18" s="32"/>
      <c r="D18" s="32"/>
      <c r="E18" s="32"/>
      <c r="F18" s="32"/>
      <c r="G18" s="32"/>
      <c r="H18" s="32"/>
      <c r="I18" s="32"/>
      <c r="J18" s="32"/>
      <c r="K18" s="33"/>
    </row>
    <row r="19" spans="1:11" x14ac:dyDescent="0.35">
      <c r="A19" s="31"/>
      <c r="B19" s="34" t="s">
        <v>54</v>
      </c>
      <c r="C19" s="39"/>
      <c r="D19" s="39"/>
      <c r="E19" s="39"/>
      <c r="F19" s="39"/>
      <c r="G19" s="35"/>
      <c r="H19" s="35"/>
      <c r="I19" s="39"/>
      <c r="J19" s="39"/>
      <c r="K19" s="33"/>
    </row>
    <row r="20" spans="1:11" x14ac:dyDescent="0.35">
      <c r="A20" s="31"/>
      <c r="B20" s="34" t="s">
        <v>53</v>
      </c>
      <c r="C20" s="39"/>
      <c r="D20" s="39"/>
      <c r="E20" s="39"/>
      <c r="F20" s="39"/>
      <c r="G20" s="35"/>
      <c r="H20" s="35"/>
      <c r="I20" s="39"/>
      <c r="J20" s="39"/>
      <c r="K20" s="33"/>
    </row>
    <row r="21" spans="1:11" x14ac:dyDescent="0.35">
      <c r="A21" s="36"/>
      <c r="B21" s="37"/>
      <c r="C21" s="37"/>
      <c r="D21" s="37"/>
      <c r="E21" s="37"/>
      <c r="F21" s="37"/>
      <c r="G21" s="37"/>
      <c r="H21" s="37"/>
      <c r="I21" s="37"/>
      <c r="J21" s="37"/>
      <c r="K21" s="38"/>
    </row>
    <row r="22" spans="1:11" hidden="1" x14ac:dyDescent="0.35"/>
    <row r="23" spans="1:11" hidden="1" x14ac:dyDescent="0.35">
      <c r="B23" s="32" t="s">
        <v>55</v>
      </c>
      <c r="C23" s="27" t="s">
        <v>59</v>
      </c>
      <c r="D23" s="32"/>
    </row>
    <row r="24" spans="1:11" hidden="1" x14ac:dyDescent="0.35">
      <c r="B24" s="52" t="s">
        <v>57</v>
      </c>
      <c r="C24" s="27">
        <v>0</v>
      </c>
    </row>
    <row r="25" spans="1:11" hidden="1" x14ac:dyDescent="0.35">
      <c r="B25" s="52" t="s">
        <v>58</v>
      </c>
      <c r="C25" s="27">
        <v>0</v>
      </c>
    </row>
    <row r="26" spans="1:11" hidden="1" x14ac:dyDescent="0.35"/>
  </sheetData>
  <sheetProtection algorithmName="SHA-512" hashValue="+Manxx4Qi15OvMX/KYtk9uWSHqZJodRI1YudEwPlo2gLGnElg9ztAYExH3s+qiqI/D0xUSb7DzoyQrVaEOafMA==" saltValue="o1+uOoin1UABij5SHpUASA==" spinCount="100000" sheet="1" objects="1" scenarios="1" selectLockedCells="1" selectUnlockedCells="1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219"/>
  <sheetViews>
    <sheetView showGridLines="0" zoomScale="85" zoomScaleNormal="85" workbookViewId="0"/>
  </sheetViews>
  <sheetFormatPr defaultColWidth="0" defaultRowHeight="14" customHeight="1" zeroHeight="1" x14ac:dyDescent="0.35"/>
  <cols>
    <col min="1" max="1" width="2.125" style="53" customWidth="1"/>
    <col min="2" max="18" width="9" style="53" customWidth="1"/>
    <col min="19" max="19" width="2.125" style="53" customWidth="1"/>
    <col min="20" max="16384" width="9" style="53" hidden="1"/>
  </cols>
  <sheetData>
    <row r="1" spans="1:1" ht="13.5" x14ac:dyDescent="0.35">
      <c r="A1"/>
    </row>
    <row r="2" spans="1:1" ht="13.5" x14ac:dyDescent="0.35"/>
    <row r="3" spans="1:1" ht="13.5" x14ac:dyDescent="0.35"/>
    <row r="4" spans="1:1" ht="13.5" x14ac:dyDescent="0.35"/>
    <row r="5" spans="1:1" ht="13.5" x14ac:dyDescent="0.35"/>
    <row r="6" spans="1:1" ht="13.5" x14ac:dyDescent="0.35"/>
    <row r="7" spans="1:1" ht="13.5" x14ac:dyDescent="0.35"/>
    <row r="8" spans="1:1" ht="13.5" x14ac:dyDescent="0.35"/>
    <row r="9" spans="1:1" ht="13.5" x14ac:dyDescent="0.35"/>
    <row r="10" spans="1:1" ht="13.5" x14ac:dyDescent="0.35"/>
    <row r="11" spans="1:1" ht="13.5" x14ac:dyDescent="0.35"/>
    <row r="12" spans="1:1" ht="13.5" x14ac:dyDescent="0.35"/>
    <row r="13" spans="1:1" ht="13.5" x14ac:dyDescent="0.35"/>
    <row r="14" spans="1:1" ht="13.5" x14ac:dyDescent="0.35"/>
    <row r="15" spans="1:1" ht="13.5" x14ac:dyDescent="0.35"/>
    <row r="16" spans="1:1" ht="13.5" x14ac:dyDescent="0.35"/>
    <row r="17" spans="2:2" ht="13.5" x14ac:dyDescent="0.35"/>
    <row r="18" spans="2:2" ht="13.5" x14ac:dyDescent="0.35"/>
    <row r="19" spans="2:2" ht="13.5" x14ac:dyDescent="0.35"/>
    <row r="20" spans="2:2" ht="13.5" x14ac:dyDescent="0.35"/>
    <row r="21" spans="2:2" ht="13.5" x14ac:dyDescent="0.35"/>
    <row r="22" spans="2:2" s="55" customFormat="1" ht="20.65" x14ac:dyDescent="0.35">
      <c r="B22" s="54" t="s">
        <v>60</v>
      </c>
    </row>
    <row r="23" spans="2:2" ht="13.5" x14ac:dyDescent="0.35"/>
    <row r="24" spans="2:2" ht="13.5" x14ac:dyDescent="0.35"/>
    <row r="25" spans="2:2" ht="13.5" x14ac:dyDescent="0.35"/>
    <row r="26" spans="2:2" ht="13.5" x14ac:dyDescent="0.35"/>
    <row r="27" spans="2:2" ht="13.5" x14ac:dyDescent="0.35"/>
    <row r="28" spans="2:2" ht="13.5" x14ac:dyDescent="0.35"/>
    <row r="29" spans="2:2" ht="13.5" x14ac:dyDescent="0.35"/>
    <row r="30" spans="2:2" ht="13.5" x14ac:dyDescent="0.35"/>
    <row r="31" spans="2:2" ht="13.5" x14ac:dyDescent="0.35"/>
    <row r="32" spans="2:2" ht="13.5" x14ac:dyDescent="0.35"/>
    <row r="33" spans="2:2" ht="13.5" x14ac:dyDescent="0.35"/>
    <row r="34" spans="2:2" ht="20.65" x14ac:dyDescent="0.35">
      <c r="B34" s="54" t="s">
        <v>61</v>
      </c>
    </row>
    <row r="35" spans="2:2" ht="13.5" x14ac:dyDescent="0.35"/>
    <row r="36" spans="2:2" ht="13.5" x14ac:dyDescent="0.35"/>
    <row r="37" spans="2:2" ht="13.5" x14ac:dyDescent="0.35"/>
    <row r="38" spans="2:2" ht="13.5" x14ac:dyDescent="0.35"/>
    <row r="39" spans="2:2" ht="13.5" x14ac:dyDescent="0.35"/>
    <row r="40" spans="2:2" ht="13.5" x14ac:dyDescent="0.35"/>
    <row r="41" spans="2:2" ht="13.5" x14ac:dyDescent="0.35"/>
    <row r="42" spans="2:2" ht="13.5" x14ac:dyDescent="0.35"/>
    <row r="43" spans="2:2" ht="13.5" x14ac:dyDescent="0.35"/>
    <row r="44" spans="2:2" ht="13.5" x14ac:dyDescent="0.35"/>
    <row r="45" spans="2:2" ht="13.5" x14ac:dyDescent="0.35"/>
    <row r="46" spans="2:2" ht="13.5" x14ac:dyDescent="0.35"/>
    <row r="47" spans="2:2" ht="13.5" x14ac:dyDescent="0.35"/>
    <row r="48" spans="2:2" ht="13.5" x14ac:dyDescent="0.35"/>
    <row r="49" spans="2:18" ht="13.5" x14ac:dyDescent="0.35"/>
    <row r="50" spans="2:18" ht="29.65" x14ac:dyDescent="0.35">
      <c r="B50" s="56" t="s">
        <v>62</v>
      </c>
      <c r="D50" s="57"/>
      <c r="F50" s="56" t="s">
        <v>63</v>
      </c>
    </row>
    <row r="51" spans="2:18" ht="29.65" x14ac:dyDescent="0.35">
      <c r="B51" s="56" t="s">
        <v>64</v>
      </c>
      <c r="D51" s="57"/>
      <c r="F51" s="56" t="s">
        <v>65</v>
      </c>
    </row>
    <row r="52" spans="2:18" ht="29.65" x14ac:dyDescent="0.35">
      <c r="B52" s="56" t="s">
        <v>66</v>
      </c>
      <c r="D52" s="57"/>
      <c r="F52" s="56" t="s">
        <v>67</v>
      </c>
    </row>
    <row r="53" spans="2:18" ht="29.65" x14ac:dyDescent="0.35">
      <c r="B53" s="56" t="s">
        <v>68</v>
      </c>
      <c r="D53" s="57"/>
      <c r="F53" s="56" t="s">
        <v>69</v>
      </c>
    </row>
    <row r="54" spans="2:18" s="58" customFormat="1" ht="13.5" x14ac:dyDescent="0.35"/>
    <row r="55" spans="2:18" ht="13.5" x14ac:dyDescent="0.35"/>
    <row r="56" spans="2:18" ht="13.9" x14ac:dyDescent="0.35">
      <c r="B56" s="59"/>
      <c r="C56" s="59"/>
      <c r="D56" s="59"/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59"/>
    </row>
    <row r="57" spans="2:18" s="55" customFormat="1" ht="20.65" x14ac:dyDescent="0.35">
      <c r="B57" s="60"/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  <c r="N57" s="60"/>
      <c r="O57" s="60"/>
      <c r="P57" s="60"/>
      <c r="Q57" s="60"/>
      <c r="R57" s="60"/>
    </row>
    <row r="58" spans="2:18" s="55" customFormat="1" ht="20.25" x14ac:dyDescent="0.35">
      <c r="B58" s="61" t="s">
        <v>70</v>
      </c>
      <c r="C58" s="61"/>
      <c r="D58" s="61"/>
      <c r="E58" s="62" t="s">
        <v>71</v>
      </c>
      <c r="F58" s="62"/>
      <c r="G58" s="62"/>
      <c r="H58" s="62"/>
      <c r="I58" s="62"/>
      <c r="J58" s="62"/>
      <c r="K58" s="62"/>
      <c r="L58" s="62"/>
      <c r="M58" s="62"/>
      <c r="N58" s="62"/>
      <c r="O58" s="62"/>
      <c r="P58" s="62"/>
      <c r="Q58" s="62"/>
      <c r="R58" s="62"/>
    </row>
    <row r="59" spans="2:18" s="55" customFormat="1" ht="20.65" x14ac:dyDescent="0.35">
      <c r="B59" s="61" t="s">
        <v>72</v>
      </c>
      <c r="C59" s="61"/>
      <c r="D59" s="61"/>
      <c r="E59" s="62" t="s">
        <v>73</v>
      </c>
      <c r="F59" s="62"/>
      <c r="G59" s="62"/>
      <c r="H59" s="62"/>
      <c r="I59" s="62"/>
      <c r="J59" s="62"/>
      <c r="K59" s="62"/>
      <c r="L59" s="62"/>
      <c r="M59" s="62"/>
      <c r="N59" s="62"/>
      <c r="O59" s="62"/>
      <c r="P59" s="62"/>
      <c r="Q59" s="62"/>
      <c r="R59" s="62"/>
    </row>
    <row r="60" spans="2:18" s="55" customFormat="1" ht="20.25" x14ac:dyDescent="0.35">
      <c r="B60" s="61" t="s">
        <v>74</v>
      </c>
      <c r="C60" s="61"/>
      <c r="D60" s="61"/>
      <c r="E60" s="62" t="s">
        <v>75</v>
      </c>
      <c r="F60" s="62"/>
      <c r="G60" s="62"/>
      <c r="H60" s="62"/>
      <c r="I60" s="62"/>
      <c r="J60" s="62"/>
      <c r="K60" s="62"/>
      <c r="L60" s="62"/>
      <c r="M60" s="62"/>
      <c r="N60" s="62"/>
      <c r="O60" s="62"/>
      <c r="P60" s="62"/>
      <c r="Q60" s="62"/>
      <c r="R60" s="62"/>
    </row>
    <row r="61" spans="2:18" s="55" customFormat="1" ht="20.25" x14ac:dyDescent="0.35">
      <c r="B61" s="61" t="s">
        <v>76</v>
      </c>
      <c r="C61" s="61"/>
      <c r="D61" s="61"/>
      <c r="E61" s="62" t="s">
        <v>77</v>
      </c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</row>
    <row r="62" spans="2:18" s="55" customFormat="1" ht="20.25" x14ac:dyDescent="0.35">
      <c r="B62" s="63"/>
      <c r="C62" s="63"/>
      <c r="D62" s="63"/>
      <c r="E62" s="64"/>
      <c r="F62" s="64"/>
      <c r="G62" s="64"/>
      <c r="H62" s="64"/>
      <c r="I62" s="64"/>
      <c r="J62" s="64"/>
      <c r="K62" s="64"/>
      <c r="L62" s="64"/>
      <c r="M62" s="64"/>
      <c r="N62" s="64"/>
      <c r="O62" s="64"/>
      <c r="P62" s="64"/>
      <c r="Q62" s="64"/>
      <c r="R62" s="64"/>
    </row>
    <row r="63" spans="2:18" ht="13.5" x14ac:dyDescent="0.35">
      <c r="B63" s="65"/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</row>
    <row r="64" spans="2:18" s="58" customFormat="1" ht="13.5" x14ac:dyDescent="0.35"/>
    <row r="65" s="58" customFormat="1" ht="13.5" x14ac:dyDescent="0.35"/>
    <row r="66" s="58" customFormat="1" ht="13.5" x14ac:dyDescent="0.35"/>
    <row r="67" s="58" customFormat="1" ht="13.5" x14ac:dyDescent="0.35"/>
    <row r="68" ht="13.5" x14ac:dyDescent="0.35"/>
    <row r="69" ht="13.5" x14ac:dyDescent="0.35"/>
    <row r="70" ht="13.5" x14ac:dyDescent="0.35"/>
    <row r="71" ht="13.5" x14ac:dyDescent="0.35"/>
    <row r="72" ht="13.5" x14ac:dyDescent="0.35"/>
    <row r="73" ht="13.5" x14ac:dyDescent="0.35"/>
    <row r="74" ht="13.5" x14ac:dyDescent="0.35"/>
    <row r="75" ht="13.5" x14ac:dyDescent="0.35"/>
    <row r="76" ht="13.5" x14ac:dyDescent="0.35"/>
    <row r="77" ht="13.5" x14ac:dyDescent="0.35"/>
    <row r="78" ht="13.5" x14ac:dyDescent="0.35"/>
    <row r="79" ht="13.5" x14ac:dyDescent="0.35"/>
    <row r="80" ht="13.5" x14ac:dyDescent="0.35"/>
    <row r="81" spans="2:18" ht="13.5" x14ac:dyDescent="0.35"/>
    <row r="82" spans="2:18" ht="13.5" x14ac:dyDescent="0.35"/>
    <row r="83" spans="2:18" ht="13.5" x14ac:dyDescent="0.35"/>
    <row r="84" spans="2:18" ht="13.5" x14ac:dyDescent="0.35"/>
    <row r="85" spans="2:18" ht="13.5" x14ac:dyDescent="0.35"/>
    <row r="86" spans="2:18" ht="13.5" x14ac:dyDescent="0.35"/>
    <row r="87" spans="2:18" ht="13.5" x14ac:dyDescent="0.35">
      <c r="B87" s="65"/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</row>
    <row r="88" spans="2:18" s="55" customFormat="1" ht="20.25" x14ac:dyDescent="0.35">
      <c r="B88" s="66"/>
      <c r="C88" s="66"/>
      <c r="D88" s="66"/>
      <c r="E88" s="66"/>
      <c r="F88" s="66"/>
      <c r="G88" s="66"/>
      <c r="H88" s="66"/>
      <c r="I88" s="66"/>
      <c r="J88" s="66"/>
      <c r="K88" s="66"/>
      <c r="L88" s="66"/>
      <c r="M88" s="66"/>
      <c r="N88" s="66"/>
      <c r="O88" s="66"/>
      <c r="P88" s="66"/>
      <c r="Q88" s="66"/>
      <c r="R88" s="66"/>
    </row>
    <row r="89" spans="2:18" s="55" customFormat="1" ht="20.25" x14ac:dyDescent="0.35">
      <c r="B89" s="61" t="s">
        <v>78</v>
      </c>
      <c r="C89" s="61"/>
      <c r="D89" s="61"/>
      <c r="E89" s="61"/>
      <c r="F89" s="61" t="s">
        <v>79</v>
      </c>
      <c r="G89" s="62"/>
      <c r="H89" s="62"/>
      <c r="I89" s="62"/>
      <c r="J89" s="62"/>
      <c r="K89" s="62"/>
      <c r="L89" s="62"/>
      <c r="M89" s="62"/>
      <c r="N89" s="62"/>
      <c r="O89" s="62"/>
      <c r="P89" s="62"/>
      <c r="Q89" s="62"/>
      <c r="R89" s="62"/>
    </row>
    <row r="90" spans="2:18" s="55" customFormat="1" ht="20.25" x14ac:dyDescent="0.35">
      <c r="B90" s="61" t="s">
        <v>80</v>
      </c>
      <c r="C90" s="61"/>
      <c r="D90" s="61"/>
      <c r="E90" s="61"/>
      <c r="F90" s="61" t="s">
        <v>81</v>
      </c>
      <c r="G90" s="62"/>
      <c r="H90" s="62"/>
      <c r="I90" s="62"/>
      <c r="J90" s="62"/>
      <c r="K90" s="62"/>
      <c r="L90" s="62"/>
      <c r="M90" s="62"/>
      <c r="N90" s="62"/>
      <c r="O90" s="62"/>
      <c r="P90" s="62"/>
      <c r="Q90" s="62"/>
      <c r="R90" s="62"/>
    </row>
    <row r="91" spans="2:18" s="55" customFormat="1" ht="20.25" x14ac:dyDescent="0.35">
      <c r="B91" s="61" t="s">
        <v>82</v>
      </c>
      <c r="C91" s="61"/>
      <c r="D91" s="61"/>
      <c r="E91" s="61"/>
      <c r="F91" s="61" t="s">
        <v>83</v>
      </c>
      <c r="G91" s="62"/>
      <c r="H91" s="62"/>
      <c r="I91" s="62"/>
      <c r="J91" s="62"/>
      <c r="K91" s="62"/>
      <c r="L91" s="62"/>
      <c r="M91" s="62"/>
      <c r="N91" s="62"/>
      <c r="O91" s="62"/>
      <c r="P91" s="62"/>
      <c r="Q91" s="62"/>
      <c r="R91" s="62"/>
    </row>
    <row r="92" spans="2:18" s="55" customFormat="1" ht="20.25" x14ac:dyDescent="0.35">
      <c r="B92" s="61" t="s">
        <v>84</v>
      </c>
      <c r="C92" s="61"/>
      <c r="D92" s="61"/>
      <c r="E92" s="61"/>
      <c r="F92" s="61" t="s">
        <v>85</v>
      </c>
      <c r="G92" s="62"/>
      <c r="H92" s="62"/>
      <c r="I92" s="62"/>
      <c r="J92" s="62"/>
      <c r="K92" s="62"/>
      <c r="L92" s="62"/>
      <c r="M92" s="62"/>
      <c r="N92" s="62"/>
      <c r="O92" s="62"/>
      <c r="P92" s="62"/>
      <c r="Q92" s="62"/>
      <c r="R92" s="62"/>
    </row>
    <row r="93" spans="2:18" s="55" customFormat="1" ht="20.25" x14ac:dyDescent="0.35">
      <c r="B93" s="61" t="s">
        <v>86</v>
      </c>
      <c r="C93" s="61"/>
      <c r="D93" s="61"/>
      <c r="E93" s="61"/>
      <c r="F93" s="61" t="s">
        <v>87</v>
      </c>
      <c r="G93" s="61"/>
      <c r="H93" s="61"/>
      <c r="I93" s="61"/>
      <c r="J93" s="61"/>
      <c r="K93" s="61"/>
      <c r="L93" s="61"/>
      <c r="M93" s="61"/>
      <c r="N93" s="61"/>
      <c r="O93" s="61"/>
      <c r="P93" s="61"/>
      <c r="Q93" s="61"/>
      <c r="R93" s="61"/>
    </row>
    <row r="94" spans="2:18" s="55" customFormat="1" ht="20.25" x14ac:dyDescent="0.35">
      <c r="B94" s="61" t="s">
        <v>88</v>
      </c>
      <c r="C94" s="61"/>
      <c r="D94" s="61"/>
      <c r="E94" s="61"/>
      <c r="F94" s="61" t="s">
        <v>89</v>
      </c>
      <c r="G94" s="61"/>
      <c r="H94" s="61"/>
      <c r="I94" s="61"/>
      <c r="J94" s="61"/>
      <c r="K94" s="61"/>
      <c r="L94" s="61"/>
      <c r="M94" s="61"/>
      <c r="N94" s="61"/>
      <c r="O94" s="61"/>
      <c r="P94" s="61"/>
      <c r="Q94" s="61"/>
      <c r="R94" s="61"/>
    </row>
    <row r="95" spans="2:18" s="55" customFormat="1" ht="20.25" x14ac:dyDescent="0.35">
      <c r="B95" s="61" t="s">
        <v>90</v>
      </c>
      <c r="C95" s="61"/>
      <c r="D95" s="61"/>
      <c r="E95" s="61"/>
      <c r="F95" s="61" t="s">
        <v>91</v>
      </c>
      <c r="G95" s="61"/>
      <c r="H95" s="61"/>
      <c r="I95" s="61"/>
      <c r="J95" s="61"/>
      <c r="K95" s="61"/>
      <c r="L95" s="61"/>
      <c r="M95" s="61"/>
      <c r="N95" s="61"/>
      <c r="O95" s="61"/>
      <c r="P95" s="61"/>
      <c r="Q95" s="61"/>
      <c r="R95" s="61"/>
    </row>
    <row r="96" spans="2:18" s="55" customFormat="1" ht="20.25" x14ac:dyDescent="0.35">
      <c r="B96" s="64"/>
      <c r="C96" s="64"/>
      <c r="D96" s="64"/>
      <c r="E96" s="64"/>
      <c r="F96" s="64"/>
      <c r="G96" s="64"/>
      <c r="H96" s="64"/>
      <c r="I96" s="64"/>
      <c r="J96" s="64"/>
      <c r="K96" s="64"/>
      <c r="L96" s="64"/>
      <c r="M96" s="64"/>
      <c r="N96" s="64"/>
      <c r="O96" s="64"/>
      <c r="P96" s="64"/>
      <c r="Q96" s="64"/>
      <c r="R96" s="64"/>
    </row>
    <row r="97" s="58" customFormat="1" ht="13.5" x14ac:dyDescent="0.35"/>
    <row r="98" ht="13.5" x14ac:dyDescent="0.35"/>
    <row r="99" ht="13.5" x14ac:dyDescent="0.35"/>
    <row r="100" ht="13.5" x14ac:dyDescent="0.35"/>
    <row r="101" ht="13.5" x14ac:dyDescent="0.35"/>
    <row r="102" ht="13.5" x14ac:dyDescent="0.35"/>
    <row r="103" ht="13.5" x14ac:dyDescent="0.35"/>
    <row r="104" ht="13.5" x14ac:dyDescent="0.35"/>
    <row r="105" ht="13.5" x14ac:dyDescent="0.35"/>
    <row r="106" ht="13.5" x14ac:dyDescent="0.35"/>
    <row r="107" ht="13.5" x14ac:dyDescent="0.35"/>
    <row r="108" ht="13.5" x14ac:dyDescent="0.35"/>
    <row r="109" ht="13.5" x14ac:dyDescent="0.35"/>
    <row r="110" ht="13.5" x14ac:dyDescent="0.35"/>
    <row r="111" ht="13.5" x14ac:dyDescent="0.35"/>
    <row r="112" ht="13.5" x14ac:dyDescent="0.35"/>
    <row r="113" spans="2:18" ht="13.9" x14ac:dyDescent="0.35">
      <c r="B113" s="59"/>
      <c r="C113" s="59"/>
      <c r="D113" s="59"/>
      <c r="E113" s="59"/>
      <c r="F113" s="59"/>
      <c r="G113" s="59"/>
      <c r="H113" s="59"/>
      <c r="I113" s="59"/>
      <c r="J113" s="59"/>
      <c r="K113" s="59"/>
      <c r="L113" s="59"/>
      <c r="M113" s="59"/>
      <c r="N113" s="59"/>
      <c r="O113" s="59"/>
      <c r="P113" s="59"/>
      <c r="Q113" s="59"/>
      <c r="R113" s="59"/>
    </row>
    <row r="114" spans="2:18" s="55" customFormat="1" ht="20.65" x14ac:dyDescent="0.35">
      <c r="B114" s="67"/>
      <c r="C114" s="67"/>
      <c r="D114" s="67"/>
      <c r="E114" s="67"/>
      <c r="F114" s="67"/>
      <c r="G114" s="67"/>
      <c r="H114" s="67"/>
      <c r="I114" s="67"/>
      <c r="J114" s="67"/>
      <c r="K114" s="67"/>
      <c r="L114" s="67"/>
      <c r="M114" s="67"/>
      <c r="N114" s="67"/>
      <c r="O114" s="67"/>
      <c r="P114" s="67"/>
      <c r="Q114" s="67"/>
      <c r="R114" s="67"/>
    </row>
    <row r="115" spans="2:18" s="55" customFormat="1" ht="20.25" x14ac:dyDescent="0.35">
      <c r="B115" s="61" t="s">
        <v>92</v>
      </c>
      <c r="C115" s="61"/>
      <c r="D115" s="61"/>
      <c r="E115" s="61" t="s">
        <v>93</v>
      </c>
      <c r="F115" s="62"/>
      <c r="G115" s="62"/>
      <c r="H115" s="62"/>
      <c r="I115" s="62"/>
      <c r="J115" s="68"/>
      <c r="K115" s="68"/>
      <c r="L115" s="68"/>
      <c r="M115" s="68"/>
      <c r="N115" s="68"/>
      <c r="O115" s="68"/>
      <c r="P115" s="68"/>
    </row>
    <row r="116" spans="2:18" s="55" customFormat="1" ht="20.25" x14ac:dyDescent="0.35">
      <c r="F116" s="68"/>
      <c r="G116" s="68"/>
      <c r="H116" s="68"/>
      <c r="I116" s="68"/>
      <c r="J116" s="68"/>
      <c r="K116" s="68"/>
      <c r="L116" s="68"/>
      <c r="M116" s="68"/>
      <c r="N116" s="68"/>
      <c r="O116" s="68"/>
      <c r="P116" s="68"/>
    </row>
    <row r="117" spans="2:18" ht="20.65" thickBot="1" x14ac:dyDescent="0.6">
      <c r="B117" s="69"/>
      <c r="C117" s="69"/>
      <c r="D117" s="70" t="s">
        <v>94</v>
      </c>
      <c r="E117" s="71"/>
      <c r="F117" s="72"/>
      <c r="G117" s="71"/>
      <c r="H117" s="68"/>
      <c r="I117" s="68"/>
      <c r="J117" s="68"/>
      <c r="K117" s="68"/>
      <c r="L117" s="68"/>
      <c r="M117" s="68"/>
      <c r="N117" s="68"/>
      <c r="O117" s="68"/>
      <c r="P117" s="68"/>
    </row>
    <row r="118" spans="2:18" ht="20.65" x14ac:dyDescent="0.35">
      <c r="B118" s="73"/>
      <c r="C118" s="73"/>
      <c r="D118" s="74">
        <v>2016</v>
      </c>
      <c r="E118" s="75">
        <v>2015</v>
      </c>
      <c r="F118" s="75">
        <v>2014</v>
      </c>
      <c r="G118" s="76">
        <v>2013</v>
      </c>
      <c r="H118" s="68"/>
      <c r="I118" s="68" t="s">
        <v>95</v>
      </c>
      <c r="J118" s="68"/>
      <c r="K118" s="68"/>
      <c r="L118" s="68"/>
      <c r="M118" s="68"/>
      <c r="N118" s="68"/>
      <c r="O118" s="68"/>
      <c r="P118" s="68"/>
    </row>
    <row r="119" spans="2:18" ht="20.25" x14ac:dyDescent="0.35">
      <c r="B119" s="77" t="s">
        <v>96</v>
      </c>
      <c r="C119" s="69"/>
      <c r="D119" s="78">
        <v>900</v>
      </c>
      <c r="E119" s="79">
        <v>800</v>
      </c>
      <c r="F119" s="79">
        <v>700</v>
      </c>
      <c r="G119" s="80">
        <v>600</v>
      </c>
      <c r="H119" s="68"/>
      <c r="I119" s="68"/>
      <c r="J119" s="68"/>
      <c r="K119" s="68"/>
      <c r="L119" s="68"/>
      <c r="M119" s="68"/>
      <c r="N119" s="68"/>
      <c r="O119" s="68"/>
      <c r="P119" s="68"/>
    </row>
    <row r="120" spans="2:18" ht="20.25" x14ac:dyDescent="0.35">
      <c r="B120" s="77" t="s">
        <v>97</v>
      </c>
      <c r="C120" s="69"/>
      <c r="D120" s="78">
        <v>-600</v>
      </c>
      <c r="E120" s="79">
        <v>-500</v>
      </c>
      <c r="F120" s="79">
        <v>-400</v>
      </c>
      <c r="G120" s="80">
        <v>-300</v>
      </c>
      <c r="H120" s="68"/>
      <c r="I120" s="68"/>
      <c r="J120" s="68"/>
      <c r="K120" s="68"/>
      <c r="L120" s="68"/>
      <c r="M120" s="68"/>
      <c r="N120" s="68"/>
      <c r="O120" s="68"/>
      <c r="P120" s="68"/>
    </row>
    <row r="121" spans="2:18" ht="20.65" thickBot="1" x14ac:dyDescent="0.4">
      <c r="B121" s="81" t="s">
        <v>98</v>
      </c>
      <c r="C121" s="82"/>
      <c r="D121" s="83">
        <v>300</v>
      </c>
      <c r="E121" s="84">
        <v>300</v>
      </c>
      <c r="F121" s="84">
        <v>300</v>
      </c>
      <c r="G121" s="85">
        <v>300</v>
      </c>
      <c r="H121" s="68"/>
      <c r="I121" s="68"/>
      <c r="J121" s="68"/>
      <c r="K121" s="68"/>
      <c r="L121" s="68"/>
      <c r="M121" s="68"/>
      <c r="N121" s="68"/>
      <c r="O121" s="68"/>
      <c r="P121" s="68"/>
    </row>
    <row r="122" spans="2:18" s="86" customFormat="1" ht="20.25" x14ac:dyDescent="0.35"/>
    <row r="123" spans="2:18" s="55" customFormat="1" ht="20.25" x14ac:dyDescent="0.35">
      <c r="F123" s="68"/>
      <c r="G123" s="68"/>
      <c r="H123" s="68"/>
      <c r="I123" s="68"/>
      <c r="J123" s="68"/>
      <c r="K123" s="68"/>
      <c r="L123" s="68"/>
      <c r="M123" s="68"/>
      <c r="N123" s="68"/>
      <c r="O123" s="68"/>
      <c r="P123" s="68"/>
    </row>
    <row r="124" spans="2:18" s="55" customFormat="1" ht="20.65" x14ac:dyDescent="0.6">
      <c r="B124" s="61" t="s">
        <v>99</v>
      </c>
      <c r="C124" s="61"/>
      <c r="E124" s="137" t="s">
        <v>100</v>
      </c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</row>
    <row r="125" spans="2:18" s="55" customFormat="1" ht="20.25" x14ac:dyDescent="0.35">
      <c r="B125" s="61" t="s">
        <v>101</v>
      </c>
      <c r="C125" s="61"/>
      <c r="E125" s="61" t="s">
        <v>102</v>
      </c>
      <c r="F125" s="68"/>
      <c r="G125" s="68"/>
      <c r="H125" s="68"/>
      <c r="I125" s="68"/>
      <c r="J125" s="68"/>
      <c r="K125" s="68"/>
      <c r="L125" s="68"/>
      <c r="M125" s="68"/>
      <c r="N125" s="68"/>
      <c r="O125" s="68"/>
      <c r="P125" s="68"/>
      <c r="Q125" s="68"/>
      <c r="R125" s="68"/>
    </row>
    <row r="126" spans="2:18" s="55" customFormat="1" ht="20.65" x14ac:dyDescent="0.35">
      <c r="B126" s="61" t="s">
        <v>103</v>
      </c>
      <c r="C126" s="61"/>
      <c r="E126" s="55" t="s">
        <v>104</v>
      </c>
      <c r="F126" s="68"/>
      <c r="G126" s="68"/>
      <c r="H126" s="68"/>
      <c r="I126" s="68"/>
      <c r="J126" s="68"/>
      <c r="K126" s="68"/>
      <c r="L126" s="68"/>
      <c r="M126" s="68"/>
      <c r="N126" s="68"/>
      <c r="O126" s="68"/>
      <c r="P126" s="68"/>
      <c r="Q126" s="68"/>
      <c r="R126" s="68"/>
    </row>
    <row r="127" spans="2:18" s="55" customFormat="1" ht="20.65" thickBot="1" x14ac:dyDescent="0.4">
      <c r="F127" s="68"/>
      <c r="G127" s="68"/>
      <c r="H127" s="68"/>
      <c r="I127" s="68"/>
      <c r="J127" s="68"/>
      <c r="K127" s="68"/>
      <c r="L127" s="68"/>
      <c r="M127" s="68"/>
      <c r="N127" s="68"/>
      <c r="O127" s="68"/>
      <c r="P127" s="68"/>
      <c r="Q127" s="68"/>
      <c r="R127" s="68"/>
    </row>
    <row r="128" spans="2:18" s="55" customFormat="1" ht="21" thickBot="1" x14ac:dyDescent="0.4">
      <c r="B128" s="61" t="s">
        <v>105</v>
      </c>
      <c r="C128" s="61"/>
      <c r="D128" s="61"/>
      <c r="E128" s="61" t="s">
        <v>106</v>
      </c>
      <c r="F128" s="61"/>
      <c r="G128" s="61"/>
      <c r="I128" s="87" t="s">
        <v>107</v>
      </c>
      <c r="J128" s="88"/>
      <c r="K128" s="88"/>
      <c r="L128" s="88"/>
      <c r="M128" s="88"/>
      <c r="N128" s="88"/>
      <c r="O128" s="88"/>
      <c r="P128" s="88"/>
      <c r="Q128" s="88"/>
      <c r="R128" s="89"/>
    </row>
    <row r="129" spans="2:18" s="55" customFormat="1" ht="20.25" x14ac:dyDescent="0.35">
      <c r="B129" s="61"/>
      <c r="C129" s="61"/>
      <c r="D129" s="61"/>
      <c r="E129" s="61"/>
      <c r="F129" s="61"/>
      <c r="G129" s="61"/>
    </row>
    <row r="130" spans="2:18" s="55" customFormat="1" ht="20.25" x14ac:dyDescent="0.35">
      <c r="B130" s="61" t="s">
        <v>108</v>
      </c>
      <c r="C130" s="61"/>
      <c r="D130" s="61"/>
      <c r="E130" s="61" t="s">
        <v>109</v>
      </c>
      <c r="F130" s="61"/>
      <c r="G130" s="61"/>
    </row>
    <row r="131" spans="2:18" s="55" customFormat="1" ht="20.25" x14ac:dyDescent="0.35">
      <c r="B131" s="90"/>
      <c r="C131" s="90"/>
      <c r="D131" s="90"/>
      <c r="E131" s="90"/>
      <c r="F131" s="90"/>
      <c r="G131" s="90"/>
      <c r="H131" s="90"/>
      <c r="I131" s="90"/>
      <c r="J131" s="90"/>
      <c r="K131" s="90"/>
      <c r="L131" s="90"/>
      <c r="M131" s="90"/>
      <c r="N131" s="90"/>
      <c r="O131" s="90"/>
      <c r="P131" s="90"/>
      <c r="Q131" s="90"/>
      <c r="R131" s="90"/>
    </row>
    <row r="132" spans="2:18" s="58" customFormat="1" ht="13.5" x14ac:dyDescent="0.35"/>
    <row r="133" spans="2:18" ht="13.5" x14ac:dyDescent="0.35"/>
    <row r="134" spans="2:18" ht="13.5" x14ac:dyDescent="0.35"/>
    <row r="135" spans="2:18" ht="13.5" x14ac:dyDescent="0.35"/>
    <row r="136" spans="2:18" ht="13.5" x14ac:dyDescent="0.35"/>
    <row r="137" spans="2:18" ht="13.5" x14ac:dyDescent="0.35"/>
    <row r="138" spans="2:18" ht="13.5" x14ac:dyDescent="0.35"/>
    <row r="139" spans="2:18" ht="13.5" x14ac:dyDescent="0.35"/>
    <row r="140" spans="2:18" ht="13.5" x14ac:dyDescent="0.35"/>
    <row r="141" spans="2:18" ht="13.5" x14ac:dyDescent="0.35"/>
    <row r="142" spans="2:18" ht="13.5" x14ac:dyDescent="0.35"/>
    <row r="143" spans="2:18" ht="13.5" x14ac:dyDescent="0.35"/>
    <row r="144" spans="2:18" ht="13.5" x14ac:dyDescent="0.35"/>
    <row r="145" spans="2:18" ht="13.5" x14ac:dyDescent="0.35"/>
    <row r="146" spans="2:18" ht="13.5" x14ac:dyDescent="0.35"/>
    <row r="147" spans="2:18" ht="13.5" x14ac:dyDescent="0.35"/>
    <row r="148" spans="2:18" s="58" customFormat="1" ht="13.5" x14ac:dyDescent="0.35"/>
    <row r="149" spans="2:18" s="86" customFormat="1" ht="20.25" x14ac:dyDescent="0.35">
      <c r="B149" s="91"/>
      <c r="C149" s="91"/>
      <c r="D149" s="91"/>
      <c r="E149" s="91"/>
      <c r="F149" s="91"/>
      <c r="G149" s="91"/>
      <c r="H149" s="91"/>
      <c r="I149" s="91"/>
      <c r="J149" s="91"/>
      <c r="K149" s="91"/>
      <c r="L149" s="91"/>
      <c r="M149" s="91"/>
      <c r="N149" s="91"/>
      <c r="O149" s="91"/>
      <c r="P149" s="91"/>
      <c r="Q149" s="91"/>
      <c r="R149" s="91"/>
    </row>
    <row r="150" spans="2:18" s="92" customFormat="1" ht="20.25" x14ac:dyDescent="0.55000000000000004">
      <c r="C150" s="93" t="s">
        <v>110</v>
      </c>
      <c r="D150" s="93"/>
      <c r="H150" s="93" t="s">
        <v>111</v>
      </c>
      <c r="I150" s="93"/>
      <c r="J150" s="94"/>
      <c r="K150" s="94"/>
      <c r="O150" s="93" t="s">
        <v>112</v>
      </c>
      <c r="P150" s="93"/>
    </row>
    <row r="151" spans="2:18" ht="13.5" x14ac:dyDescent="0.35"/>
    <row r="152" spans="2:18" ht="18" thickBot="1" x14ac:dyDescent="0.55000000000000004">
      <c r="C152" s="70" t="s">
        <v>94</v>
      </c>
      <c r="D152" s="71"/>
      <c r="H152" s="70" t="s">
        <v>113</v>
      </c>
      <c r="I152" s="71"/>
      <c r="K152" s="70" t="s">
        <v>114</v>
      </c>
      <c r="O152" s="70" t="s">
        <v>94</v>
      </c>
      <c r="P152" s="71"/>
    </row>
    <row r="153" spans="2:18" ht="20.65" thickBot="1" x14ac:dyDescent="0.6">
      <c r="C153" s="95">
        <v>1.2345678899999999</v>
      </c>
      <c r="D153" s="96"/>
      <c r="H153" s="97">
        <f>$I$160</f>
        <v>3</v>
      </c>
      <c r="I153" s="98">
        <f>$J$160</f>
        <v>4</v>
      </c>
      <c r="K153" s="99">
        <v>1.5</v>
      </c>
      <c r="O153" s="100">
        <v>-1</v>
      </c>
      <c r="P153" s="101">
        <v>1</v>
      </c>
    </row>
    <row r="154" spans="2:18" ht="20.65" thickBot="1" x14ac:dyDescent="0.6">
      <c r="C154" s="102">
        <v>9.8765432099999995</v>
      </c>
      <c r="D154" s="103"/>
      <c r="F154"/>
      <c r="G154"/>
      <c r="H154" s="104">
        <f>$I$161</f>
        <v>5</v>
      </c>
      <c r="I154" s="105">
        <f>$J$161</f>
        <v>6</v>
      </c>
      <c r="O154" s="106">
        <v>2</v>
      </c>
      <c r="P154" s="107">
        <v>-2</v>
      </c>
    </row>
    <row r="155" spans="2:18" ht="20.25" x14ac:dyDescent="0.35">
      <c r="R155" s="55"/>
    </row>
    <row r="156" spans="2:18" ht="20.25" x14ac:dyDescent="0.35">
      <c r="R156" s="55"/>
    </row>
    <row r="157" spans="2:18" s="92" customFormat="1" ht="20.25" x14ac:dyDescent="0.55000000000000004">
      <c r="C157" s="93" t="s">
        <v>115</v>
      </c>
      <c r="D157" s="93"/>
      <c r="E157"/>
      <c r="F157"/>
      <c r="I157" s="93" t="s">
        <v>116</v>
      </c>
      <c r="J157" s="93"/>
      <c r="O157" s="93" t="s">
        <v>117</v>
      </c>
      <c r="P157" s="93"/>
      <c r="R157" s="61"/>
    </row>
    <row r="158" spans="2:18" ht="20.25" x14ac:dyDescent="0.35">
      <c r="E158"/>
      <c r="F158"/>
      <c r="R158" s="55"/>
    </row>
    <row r="159" spans="2:18" ht="20.65" thickBot="1" x14ac:dyDescent="0.55000000000000004">
      <c r="C159" s="70" t="s">
        <v>94</v>
      </c>
      <c r="D159" s="71"/>
      <c r="E159"/>
      <c r="F159"/>
      <c r="I159" s="70" t="s">
        <v>94</v>
      </c>
      <c r="J159" s="71"/>
      <c r="O159" s="70" t="s">
        <v>94</v>
      </c>
      <c r="P159" s="71"/>
      <c r="R159" s="55"/>
    </row>
    <row r="160" spans="2:18" ht="20.25" x14ac:dyDescent="0.55000000000000004">
      <c r="C160" s="108">
        <v>67</v>
      </c>
      <c r="D160" s="109"/>
      <c r="E160"/>
      <c r="F160"/>
      <c r="G160" s="55"/>
      <c r="I160" s="97">
        <v>3</v>
      </c>
      <c r="J160" s="98">
        <v>4</v>
      </c>
      <c r="O160" s="97">
        <v>3000</v>
      </c>
      <c r="P160" s="98">
        <v>4000</v>
      </c>
      <c r="R160" s="55"/>
    </row>
    <row r="161" spans="2:18" customFormat="1" ht="20.65" thickBot="1" x14ac:dyDescent="0.6">
      <c r="C161" s="110">
        <v>33</v>
      </c>
      <c r="D161" s="111"/>
      <c r="H161" s="53"/>
      <c r="I161" s="104">
        <v>5</v>
      </c>
      <c r="J161" s="105">
        <v>6</v>
      </c>
      <c r="K161" s="53"/>
      <c r="N161" s="53"/>
      <c r="O161" s="104">
        <v>5000</v>
      </c>
      <c r="P161" s="105">
        <v>6000</v>
      </c>
    </row>
    <row r="162" spans="2:18" s="55" customFormat="1" ht="20.25" x14ac:dyDescent="0.35">
      <c r="B162" s="90"/>
      <c r="C162" s="90"/>
      <c r="D162" s="90"/>
      <c r="E162" s="90"/>
      <c r="F162" s="90"/>
      <c r="G162" s="90"/>
      <c r="H162" s="90"/>
      <c r="I162" s="90"/>
      <c r="J162" s="90"/>
      <c r="K162" s="90"/>
      <c r="L162" s="90"/>
      <c r="M162" s="90"/>
      <c r="N162" s="90"/>
      <c r="O162" s="90"/>
      <c r="P162" s="90"/>
      <c r="Q162" s="90"/>
      <c r="R162" s="112"/>
    </row>
    <row r="163" spans="2:18" ht="13.5" x14ac:dyDescent="0.35"/>
    <row r="164" spans="2:18" ht="13.5" x14ac:dyDescent="0.35"/>
    <row r="165" spans="2:18" ht="13.5" x14ac:dyDescent="0.35"/>
    <row r="166" spans="2:18" ht="13.5" x14ac:dyDescent="0.35"/>
    <row r="167" spans="2:18" ht="13.5" x14ac:dyDescent="0.35"/>
    <row r="168" spans="2:18" ht="13.5" x14ac:dyDescent="0.35"/>
    <row r="169" spans="2:18" ht="13.5" x14ac:dyDescent="0.35"/>
    <row r="170" spans="2:18" ht="13.5" x14ac:dyDescent="0.35"/>
    <row r="171" spans="2:18" ht="13.5" x14ac:dyDescent="0.35"/>
    <row r="172" spans="2:18" ht="13.5" x14ac:dyDescent="0.35"/>
    <row r="173" spans="2:18" ht="13.5" x14ac:dyDescent="0.35"/>
    <row r="174" spans="2:18" ht="13.5" x14ac:dyDescent="0.35"/>
    <row r="175" spans="2:18" ht="13.5" x14ac:dyDescent="0.35"/>
    <row r="176" spans="2:18" ht="13.5" x14ac:dyDescent="0.35"/>
    <row r="177" spans="2:18" ht="13.5" x14ac:dyDescent="0.35"/>
    <row r="178" spans="2:18" ht="13.5" x14ac:dyDescent="0.35"/>
    <row r="179" spans="2:18" s="58" customFormat="1" ht="13.5" x14ac:dyDescent="0.35"/>
    <row r="180" spans="2:18" s="86" customFormat="1" ht="20.65" x14ac:dyDescent="0.35">
      <c r="B180" s="67"/>
      <c r="C180" s="91"/>
      <c r="D180" s="91"/>
      <c r="E180" s="91"/>
      <c r="F180" s="113"/>
      <c r="G180" s="113"/>
      <c r="H180" s="113"/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</row>
    <row r="181" spans="2:18" s="86" customFormat="1" ht="20.65" thickBot="1" x14ac:dyDescent="0.55000000000000004">
      <c r="F181" s="70" t="s">
        <v>94</v>
      </c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</row>
    <row r="182" spans="2:18" s="55" customFormat="1" ht="20.25" x14ac:dyDescent="0.35">
      <c r="B182" s="61" t="s">
        <v>118</v>
      </c>
      <c r="F182" s="114" t="s">
        <v>119</v>
      </c>
      <c r="G182" s="115"/>
      <c r="H182" s="115"/>
      <c r="I182" s="115"/>
      <c r="J182" s="115" t="str">
        <f>F182</f>
        <v>X</v>
      </c>
      <c r="K182" s="115"/>
      <c r="L182" s="115" t="str">
        <f>H183</f>
        <v>X</v>
      </c>
      <c r="M182" s="115"/>
      <c r="N182" s="115"/>
      <c r="O182" s="115"/>
      <c r="P182" s="115"/>
      <c r="Q182" s="115"/>
      <c r="R182" s="116" t="str">
        <f>P183</f>
        <v>X</v>
      </c>
    </row>
    <row r="183" spans="2:18" s="55" customFormat="1" ht="20.25" x14ac:dyDescent="0.35">
      <c r="B183" s="61" t="s">
        <v>120</v>
      </c>
      <c r="F183" s="117"/>
      <c r="G183" s="118"/>
      <c r="H183" s="118" t="str">
        <f>F182</f>
        <v>X</v>
      </c>
      <c r="I183" s="118"/>
      <c r="J183" s="118" t="str">
        <f>J182</f>
        <v>X</v>
      </c>
      <c r="K183" s="118"/>
      <c r="L183" s="118" t="str">
        <f>IF(J183=H184,F182,H184)</f>
        <v>X</v>
      </c>
      <c r="M183" s="118"/>
      <c r="N183" s="118" t="str">
        <f>J183</f>
        <v>X</v>
      </c>
      <c r="O183" s="118"/>
      <c r="P183" s="118" t="str">
        <f>IF(N183=L183,J183,H183)</f>
        <v>X</v>
      </c>
      <c r="Q183" s="118"/>
      <c r="R183" s="119" t="str">
        <f>P183</f>
        <v>X</v>
      </c>
    </row>
    <row r="184" spans="2:18" s="55" customFormat="1" ht="20.65" thickBot="1" x14ac:dyDescent="0.4">
      <c r="B184" s="61" t="s">
        <v>121</v>
      </c>
      <c r="F184" s="120"/>
      <c r="G184" s="121"/>
      <c r="H184" s="121" t="str">
        <f>H183</f>
        <v>X</v>
      </c>
      <c r="I184" s="121"/>
      <c r="J184" s="121"/>
      <c r="K184" s="121"/>
      <c r="L184" s="121"/>
      <c r="M184" s="121"/>
      <c r="N184" s="121"/>
      <c r="O184" s="121"/>
      <c r="P184" s="121"/>
      <c r="Q184" s="121"/>
      <c r="R184" s="122" t="str">
        <f>P183</f>
        <v>X</v>
      </c>
    </row>
    <row r="185" spans="2:18" s="86" customFormat="1" ht="20.25" x14ac:dyDescent="0.35">
      <c r="B185" s="61"/>
    </row>
    <row r="186" spans="2:18" s="55" customFormat="1" ht="20.25" x14ac:dyDescent="0.35">
      <c r="B186" s="90"/>
      <c r="C186" s="90"/>
      <c r="D186" s="90"/>
      <c r="E186" s="90"/>
      <c r="F186" s="123"/>
      <c r="G186" s="123"/>
      <c r="H186" s="123"/>
      <c r="I186" s="123"/>
      <c r="J186" s="123"/>
      <c r="K186" s="123"/>
      <c r="L186" s="123"/>
      <c r="M186" s="123"/>
      <c r="N186" s="123"/>
      <c r="O186" s="123"/>
      <c r="P186" s="123"/>
      <c r="Q186" s="123"/>
      <c r="R186" s="123"/>
    </row>
    <row r="187" spans="2:18" ht="13.5" x14ac:dyDescent="0.35"/>
    <row r="188" spans="2:18" ht="13.5" x14ac:dyDescent="0.35"/>
    <row r="189" spans="2:18" ht="13.5" x14ac:dyDescent="0.35"/>
    <row r="190" spans="2:18" ht="13.5" x14ac:dyDescent="0.35"/>
    <row r="191" spans="2:18" ht="13.5" x14ac:dyDescent="0.35"/>
    <row r="192" spans="2:18" ht="13.5" x14ac:dyDescent="0.35"/>
    <row r="193" spans="2:18" ht="13.5" x14ac:dyDescent="0.35"/>
    <row r="194" spans="2:18" ht="13.5" x14ac:dyDescent="0.35"/>
    <row r="195" spans="2:18" ht="13.5" x14ac:dyDescent="0.35"/>
    <row r="196" spans="2:18" ht="13.5" x14ac:dyDescent="0.35"/>
    <row r="197" spans="2:18" ht="13.5" x14ac:dyDescent="0.35"/>
    <row r="198" spans="2:18" ht="13.5" x14ac:dyDescent="0.35"/>
    <row r="199" spans="2:18" ht="13.5" x14ac:dyDescent="0.35"/>
    <row r="200" spans="2:18" ht="13.5" x14ac:dyDescent="0.35"/>
    <row r="201" spans="2:18" ht="13.5" x14ac:dyDescent="0.35"/>
    <row r="202" spans="2:18" s="58" customFormat="1" ht="13.5" x14ac:dyDescent="0.35"/>
    <row r="203" spans="2:18" s="86" customFormat="1" ht="20.65" x14ac:dyDescent="0.35">
      <c r="B203" s="67"/>
      <c r="C203" s="91"/>
      <c r="D203" s="91"/>
      <c r="E203" s="91"/>
      <c r="F203" s="113"/>
      <c r="G203" s="113"/>
      <c r="H203" s="113"/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</row>
    <row r="204" spans="2:18" s="86" customFormat="1" ht="20.65" thickBot="1" x14ac:dyDescent="0.55000000000000004">
      <c r="B204" s="61" t="s">
        <v>122</v>
      </c>
      <c r="E204" s="70" t="s">
        <v>94</v>
      </c>
      <c r="F204" s="71"/>
      <c r="G204" s="71"/>
      <c r="H204" s="71"/>
      <c r="I204" s="71"/>
    </row>
    <row r="205" spans="2:18" s="86" customFormat="1" ht="20.65" x14ac:dyDescent="0.35">
      <c r="B205" s="61"/>
      <c r="E205" s="124" t="s">
        <v>123</v>
      </c>
      <c r="F205" s="125" t="s">
        <v>124</v>
      </c>
      <c r="G205" s="125" t="s">
        <v>125</v>
      </c>
      <c r="H205" s="125" t="s">
        <v>126</v>
      </c>
      <c r="I205" s="126" t="s">
        <v>127</v>
      </c>
    </row>
    <row r="206" spans="2:18" s="86" customFormat="1" ht="20.25" x14ac:dyDescent="0.35">
      <c r="B206" s="61"/>
      <c r="E206" s="127" t="s">
        <v>128</v>
      </c>
      <c r="F206" s="128">
        <v>28</v>
      </c>
      <c r="G206" s="128">
        <v>90</v>
      </c>
      <c r="H206" s="128">
        <v>13</v>
      </c>
      <c r="I206" s="129">
        <v>94</v>
      </c>
    </row>
    <row r="207" spans="2:18" s="86" customFormat="1" ht="20.25" x14ac:dyDescent="0.35">
      <c r="B207" s="61"/>
      <c r="E207" s="127" t="s">
        <v>129</v>
      </c>
      <c r="F207" s="128">
        <v>27</v>
      </c>
      <c r="G207" s="128">
        <v>82</v>
      </c>
      <c r="H207" s="128">
        <v>3</v>
      </c>
      <c r="I207" s="129">
        <v>74</v>
      </c>
    </row>
    <row r="208" spans="2:18" s="86" customFormat="1" ht="20.65" thickBot="1" x14ac:dyDescent="0.4">
      <c r="B208" s="61"/>
      <c r="E208" s="130" t="s">
        <v>130</v>
      </c>
      <c r="F208" s="131">
        <v>48</v>
      </c>
      <c r="G208" s="131">
        <v>96</v>
      </c>
      <c r="H208" s="131">
        <v>29</v>
      </c>
      <c r="I208" s="132">
        <v>82</v>
      </c>
    </row>
    <row r="209" spans="2:18" s="86" customFormat="1" ht="20.25" x14ac:dyDescent="0.35">
      <c r="B209" s="61"/>
    </row>
    <row r="210" spans="2:18" s="86" customFormat="1" ht="20.25" x14ac:dyDescent="0.35">
      <c r="B210" s="61" t="s">
        <v>131</v>
      </c>
      <c r="E210" s="61" t="s">
        <v>132</v>
      </c>
      <c r="F210" s="61"/>
      <c r="G210" s="61"/>
      <c r="H210" s="61"/>
      <c r="I210" s="61"/>
    </row>
    <row r="211" spans="2:18" s="86" customFormat="1" ht="20.25" x14ac:dyDescent="0.35">
      <c r="B211" s="61" t="s">
        <v>133</v>
      </c>
      <c r="E211" s="61" t="s">
        <v>134</v>
      </c>
      <c r="F211" s="61"/>
      <c r="G211" s="61"/>
      <c r="H211" s="61"/>
      <c r="I211" s="61"/>
    </row>
    <row r="212" spans="2:18" s="86" customFormat="1" ht="20.25" x14ac:dyDescent="0.35">
      <c r="B212" s="61" t="s">
        <v>135</v>
      </c>
      <c r="E212" s="61" t="s">
        <v>136</v>
      </c>
      <c r="F212" s="61"/>
      <c r="G212" s="61"/>
      <c r="H212" s="61"/>
      <c r="I212" s="61"/>
    </row>
    <row r="213" spans="2:18" s="55" customFormat="1" ht="20.25" x14ac:dyDescent="0.35">
      <c r="B213" s="90"/>
      <c r="C213" s="90"/>
      <c r="D213" s="90"/>
      <c r="E213" s="64"/>
      <c r="F213" s="133"/>
      <c r="G213" s="133"/>
      <c r="H213" s="133"/>
      <c r="I213" s="133"/>
      <c r="J213" s="123"/>
      <c r="K213" s="123"/>
      <c r="L213" s="123"/>
      <c r="M213" s="123"/>
      <c r="N213" s="123"/>
      <c r="O213" s="123"/>
      <c r="P213" s="123"/>
      <c r="Q213" s="123"/>
      <c r="R213" s="123"/>
    </row>
    <row r="214" spans="2:18" ht="13.5" x14ac:dyDescent="0.35"/>
    <row r="215" spans="2:18" ht="13.5" x14ac:dyDescent="0.35"/>
    <row r="216" spans="2:18" s="134" customFormat="1" ht="17.649999999999999" x14ac:dyDescent="0.35">
      <c r="D216" s="134" t="s">
        <v>137</v>
      </c>
      <c r="H216" s="135" t="s">
        <v>138</v>
      </c>
      <c r="K216" s="134" t="s">
        <v>139</v>
      </c>
      <c r="M216" s="136" t="s">
        <v>140</v>
      </c>
    </row>
    <row r="217" spans="2:18" ht="13.5" x14ac:dyDescent="0.35"/>
    <row r="218" spans="2:18" ht="13.5" hidden="1" x14ac:dyDescent="0.35"/>
    <row r="219" spans="2:18" ht="13.5" hidden="1" x14ac:dyDescent="0.35"/>
  </sheetData>
  <mergeCells count="1">
    <mergeCell ref="E124:R124"/>
  </mergeCells>
  <hyperlinks>
    <hyperlink ref="H216" r:id="rId1"/>
    <hyperlink ref="M216" r:id="rId2"/>
  </hyperlinks>
  <pageMargins left="0.7" right="0.7" top="0.75" bottom="0.75" header="0.3" footer="0.3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47"/>
  <sheetViews>
    <sheetView showGridLines="0" zoomScale="85" zoomScaleNormal="85" workbookViewId="0">
      <selection activeCell="B2" sqref="B2"/>
    </sheetView>
  </sheetViews>
  <sheetFormatPr defaultColWidth="9" defaultRowHeight="13.5" x14ac:dyDescent="0.35"/>
  <cols>
    <col min="1" max="1" width="2.125" customWidth="1"/>
    <col min="2" max="2" width="25.6875" bestFit="1" customWidth="1"/>
    <col min="3" max="3" width="2.125" customWidth="1"/>
    <col min="19" max="19" width="15.125" bestFit="1" customWidth="1"/>
  </cols>
  <sheetData>
    <row r="1" spans="1:20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2"/>
    </row>
    <row r="2" spans="1:20" ht="13.5" customHeight="1" x14ac:dyDescent="0.4">
      <c r="A2" s="1"/>
      <c r="B2" s="13" t="s">
        <v>0</v>
      </c>
      <c r="C2" s="13"/>
      <c r="D2" s="14">
        <v>2007</v>
      </c>
      <c r="E2" s="14">
        <f t="shared" ref="E2:Q2" si="0">D2+1</f>
        <v>2008</v>
      </c>
      <c r="F2" s="14">
        <f t="shared" si="0"/>
        <v>2009</v>
      </c>
      <c r="G2" s="15">
        <f t="shared" si="0"/>
        <v>2010</v>
      </c>
      <c r="H2" s="15">
        <f t="shared" si="0"/>
        <v>2011</v>
      </c>
      <c r="I2" s="15">
        <f t="shared" si="0"/>
        <v>2012</v>
      </c>
      <c r="J2" s="15">
        <f t="shared" si="0"/>
        <v>2013</v>
      </c>
      <c r="K2" s="15">
        <f t="shared" si="0"/>
        <v>2014</v>
      </c>
      <c r="L2" s="15">
        <f t="shared" si="0"/>
        <v>2015</v>
      </c>
      <c r="M2" s="15">
        <f t="shared" si="0"/>
        <v>2016</v>
      </c>
      <c r="N2" s="15">
        <f t="shared" si="0"/>
        <v>2017</v>
      </c>
      <c r="O2" s="15">
        <f t="shared" si="0"/>
        <v>2018</v>
      </c>
      <c r="P2" s="15">
        <f t="shared" si="0"/>
        <v>2019</v>
      </c>
      <c r="Q2" s="15">
        <f t="shared" si="0"/>
        <v>2020</v>
      </c>
      <c r="R2" s="1"/>
      <c r="S2" s="138" t="s">
        <v>1</v>
      </c>
      <c r="T2" s="139"/>
    </row>
    <row r="3" spans="1:20" ht="13.5" customHeight="1" x14ac:dyDescent="0.35">
      <c r="A3" s="1"/>
      <c r="B3" s="1" t="s">
        <v>2</v>
      </c>
      <c r="C3" s="1"/>
      <c r="D3" s="16">
        <v>5465</v>
      </c>
      <c r="E3" s="16">
        <v>5789</v>
      </c>
      <c r="F3" s="16">
        <v>3000</v>
      </c>
      <c r="G3" s="16">
        <f t="shared" ref="G3:Q3" si="1">MAX(SUM($D4:G4)-SUM($D3:F3),3000)</f>
        <v>3000</v>
      </c>
      <c r="H3" s="16">
        <f t="shared" si="1"/>
        <v>3000</v>
      </c>
      <c r="I3" s="16">
        <f t="shared" si="1"/>
        <v>4651</v>
      </c>
      <c r="J3" s="16">
        <f t="shared" si="1"/>
        <v>5324</v>
      </c>
      <c r="K3" s="16">
        <f t="shared" si="1"/>
        <v>5856.4000000000015</v>
      </c>
      <c r="L3" s="16">
        <f t="shared" si="1"/>
        <v>5856.4000000000015</v>
      </c>
      <c r="M3" s="16">
        <f t="shared" si="1"/>
        <v>5856.4000000000015</v>
      </c>
      <c r="N3" s="16">
        <f t="shared" si="1"/>
        <v>5856.4000000000015</v>
      </c>
      <c r="O3" s="16">
        <f t="shared" si="1"/>
        <v>5856.4000000000015</v>
      </c>
      <c r="P3" s="16">
        <f t="shared" si="1"/>
        <v>5856.4000000000015</v>
      </c>
      <c r="Q3" s="16">
        <f t="shared" si="1"/>
        <v>5856.3999999999942</v>
      </c>
      <c r="R3" s="1"/>
      <c r="S3" s="1"/>
      <c r="T3" s="2"/>
    </row>
    <row r="4" spans="1:20" ht="13.5" customHeight="1" x14ac:dyDescent="0.35">
      <c r="A4" s="1"/>
      <c r="B4" s="1" t="s">
        <v>3</v>
      </c>
      <c r="C4" s="1"/>
      <c r="D4" s="16">
        <v>5465</v>
      </c>
      <c r="E4" s="16">
        <v>3000</v>
      </c>
      <c r="F4" s="16">
        <v>3200</v>
      </c>
      <c r="G4" s="16">
        <v>4000</v>
      </c>
      <c r="H4" s="16">
        <f t="shared" ref="H4:K4" si="2">G4*1.1</f>
        <v>4400</v>
      </c>
      <c r="I4" s="16">
        <f t="shared" si="2"/>
        <v>4840</v>
      </c>
      <c r="J4" s="16">
        <f t="shared" si="2"/>
        <v>5324</v>
      </c>
      <c r="K4" s="16">
        <f t="shared" si="2"/>
        <v>5856.4000000000005</v>
      </c>
      <c r="L4" s="16">
        <f t="shared" ref="L4:Q5" si="3">K4</f>
        <v>5856.4000000000005</v>
      </c>
      <c r="M4" s="16">
        <f t="shared" si="3"/>
        <v>5856.4000000000005</v>
      </c>
      <c r="N4" s="16">
        <f t="shared" si="3"/>
        <v>5856.4000000000005</v>
      </c>
      <c r="O4" s="16">
        <f t="shared" si="3"/>
        <v>5856.4000000000005</v>
      </c>
      <c r="P4" s="16">
        <f t="shared" si="3"/>
        <v>5856.4000000000005</v>
      </c>
      <c r="Q4" s="16">
        <f t="shared" si="3"/>
        <v>5856.4000000000005</v>
      </c>
      <c r="R4" s="1"/>
      <c r="S4" s="1" t="s">
        <v>4</v>
      </c>
      <c r="T4" s="17">
        <v>-7.0000000000000007E-2</v>
      </c>
    </row>
    <row r="5" spans="1:20" ht="13.5" customHeight="1" x14ac:dyDescent="0.35">
      <c r="A5" s="1"/>
      <c r="B5" s="1" t="s">
        <v>5</v>
      </c>
      <c r="C5" s="1"/>
      <c r="D5" s="16">
        <v>255</v>
      </c>
      <c r="E5" s="16">
        <v>229</v>
      </c>
      <c r="F5" s="16">
        <v>180</v>
      </c>
      <c r="G5" s="16">
        <v>180</v>
      </c>
      <c r="H5" s="16">
        <v>255</v>
      </c>
      <c r="I5" s="16">
        <f t="shared" ref="I5:L5" si="4">H5*1.01</f>
        <v>257.55</v>
      </c>
      <c r="J5" s="16">
        <f t="shared" si="4"/>
        <v>260.12549999999999</v>
      </c>
      <c r="K5" s="16">
        <f t="shared" si="4"/>
        <v>262.72675499999997</v>
      </c>
      <c r="L5" s="16">
        <f t="shared" si="4"/>
        <v>265.35402254999997</v>
      </c>
      <c r="M5" s="16">
        <f t="shared" si="3"/>
        <v>265.35402254999997</v>
      </c>
      <c r="N5" s="16">
        <f t="shared" si="3"/>
        <v>265.35402254999997</v>
      </c>
      <c r="O5" s="16">
        <f t="shared" si="3"/>
        <v>265.35402254999997</v>
      </c>
      <c r="P5" s="16">
        <f t="shared" si="3"/>
        <v>265.35402254999997</v>
      </c>
      <c r="Q5" s="16">
        <f t="shared" si="3"/>
        <v>265.35402254999997</v>
      </c>
      <c r="R5" s="1"/>
      <c r="S5" s="1" t="s">
        <v>6</v>
      </c>
      <c r="T5" s="17">
        <v>-0.1</v>
      </c>
    </row>
    <row r="6" spans="1:20" ht="13.5" customHeight="1" x14ac:dyDescent="0.35">
      <c r="A6" s="1"/>
      <c r="B6" s="1" t="s">
        <v>7</v>
      </c>
      <c r="C6" s="1"/>
      <c r="D6" s="3">
        <f t="shared" ref="D6:Q6" si="5">D$4*D5</f>
        <v>1393575</v>
      </c>
      <c r="E6" s="3">
        <f t="shared" si="5"/>
        <v>687000</v>
      </c>
      <c r="F6" s="3">
        <f t="shared" si="5"/>
        <v>576000</v>
      </c>
      <c r="G6" s="3">
        <f t="shared" si="5"/>
        <v>720000</v>
      </c>
      <c r="H6" s="3">
        <f t="shared" si="5"/>
        <v>1122000</v>
      </c>
      <c r="I6" s="3">
        <f t="shared" si="5"/>
        <v>1246542</v>
      </c>
      <c r="J6" s="3">
        <f t="shared" si="5"/>
        <v>1384908.162</v>
      </c>
      <c r="K6" s="3">
        <f t="shared" si="5"/>
        <v>1538632.967982</v>
      </c>
      <c r="L6" s="3">
        <f t="shared" si="5"/>
        <v>1554019.29766182</v>
      </c>
      <c r="M6" s="3">
        <f t="shared" si="5"/>
        <v>1554019.29766182</v>
      </c>
      <c r="N6" s="3">
        <f t="shared" si="5"/>
        <v>1554019.29766182</v>
      </c>
      <c r="O6" s="3">
        <f t="shared" si="5"/>
        <v>1554019.29766182</v>
      </c>
      <c r="P6" s="3">
        <f t="shared" si="5"/>
        <v>1554019.29766182</v>
      </c>
      <c r="Q6" s="3">
        <f t="shared" si="5"/>
        <v>1554019.29766182</v>
      </c>
      <c r="R6" s="1"/>
      <c r="S6" s="1" t="s">
        <v>8</v>
      </c>
      <c r="T6" s="17">
        <v>-0.34</v>
      </c>
    </row>
    <row r="7" spans="1:20" ht="13.5" customHeight="1" x14ac:dyDescent="0.35">
      <c r="A7" s="1"/>
      <c r="B7" s="1" t="s">
        <v>9</v>
      </c>
      <c r="C7" s="1"/>
      <c r="D7" s="16">
        <v>-150</v>
      </c>
      <c r="E7" s="16">
        <v>-148</v>
      </c>
      <c r="F7" s="16">
        <v>-180</v>
      </c>
      <c r="G7" s="16">
        <v>-180</v>
      </c>
      <c r="H7" s="16">
        <v>-180</v>
      </c>
      <c r="I7" s="16">
        <v>-160</v>
      </c>
      <c r="J7" s="16">
        <f t="shared" ref="J7:L7" si="6">I7*0.99</f>
        <v>-158.4</v>
      </c>
      <c r="K7" s="16">
        <f t="shared" si="6"/>
        <v>-156.816</v>
      </c>
      <c r="L7" s="16">
        <f t="shared" si="6"/>
        <v>-155.24784</v>
      </c>
      <c r="M7" s="16">
        <f t="shared" ref="M7:Q7" si="7">L7</f>
        <v>-155.24784</v>
      </c>
      <c r="N7" s="16">
        <f t="shared" si="7"/>
        <v>-155.24784</v>
      </c>
      <c r="O7" s="16">
        <f t="shared" si="7"/>
        <v>-155.24784</v>
      </c>
      <c r="P7" s="16">
        <f t="shared" si="7"/>
        <v>-155.24784</v>
      </c>
      <c r="Q7" s="16">
        <f t="shared" si="7"/>
        <v>-155.24784</v>
      </c>
      <c r="R7" s="1"/>
      <c r="S7" s="1" t="s">
        <v>10</v>
      </c>
      <c r="T7" s="18">
        <v>175000</v>
      </c>
    </row>
    <row r="8" spans="1:20" x14ac:dyDescent="0.35">
      <c r="A8" s="1"/>
      <c r="B8" s="1" t="s">
        <v>11</v>
      </c>
      <c r="C8" s="1"/>
      <c r="D8" s="3">
        <f t="shared" ref="D8:Q8" si="8">D$4*D7</f>
        <v>-819750</v>
      </c>
      <c r="E8" s="3">
        <f t="shared" si="8"/>
        <v>-444000</v>
      </c>
      <c r="F8" s="3">
        <f t="shared" si="8"/>
        <v>-576000</v>
      </c>
      <c r="G8" s="3">
        <f t="shared" si="8"/>
        <v>-720000</v>
      </c>
      <c r="H8" s="3">
        <f t="shared" si="8"/>
        <v>-792000</v>
      </c>
      <c r="I8" s="3">
        <f t="shared" si="8"/>
        <v>-774400</v>
      </c>
      <c r="J8" s="3">
        <f t="shared" si="8"/>
        <v>-843321.6</v>
      </c>
      <c r="K8" s="3">
        <f t="shared" si="8"/>
        <v>-918377.22240000009</v>
      </c>
      <c r="L8" s="3">
        <f t="shared" si="8"/>
        <v>-909193.45017600001</v>
      </c>
      <c r="M8" s="3">
        <f t="shared" si="8"/>
        <v>-909193.45017600001</v>
      </c>
      <c r="N8" s="3">
        <f t="shared" si="8"/>
        <v>-909193.45017600001</v>
      </c>
      <c r="O8" s="3">
        <f t="shared" si="8"/>
        <v>-909193.45017600001</v>
      </c>
      <c r="P8" s="3">
        <f t="shared" si="8"/>
        <v>-909193.45017600001</v>
      </c>
      <c r="Q8" s="3">
        <f t="shared" si="8"/>
        <v>-909193.45017600001</v>
      </c>
      <c r="R8" s="1"/>
      <c r="S8" s="1"/>
      <c r="T8" s="2"/>
    </row>
    <row r="9" spans="1:20" x14ac:dyDescent="0.35">
      <c r="A9" s="1"/>
      <c r="B9" s="1" t="s">
        <v>12</v>
      </c>
      <c r="C9" s="1"/>
      <c r="D9" s="3">
        <f t="shared" ref="D9:Q9" si="9">D6+D8</f>
        <v>573825</v>
      </c>
      <c r="E9" s="3">
        <f t="shared" si="9"/>
        <v>243000</v>
      </c>
      <c r="F9" s="3">
        <f t="shared" si="9"/>
        <v>0</v>
      </c>
      <c r="G9" s="3">
        <f t="shared" si="9"/>
        <v>0</v>
      </c>
      <c r="H9" s="3">
        <f t="shared" si="9"/>
        <v>330000</v>
      </c>
      <c r="I9" s="3">
        <f t="shared" si="9"/>
        <v>472142</v>
      </c>
      <c r="J9" s="3">
        <f t="shared" si="9"/>
        <v>541586.56200000003</v>
      </c>
      <c r="K9" s="3">
        <f t="shared" si="9"/>
        <v>620255.74558199989</v>
      </c>
      <c r="L9" s="3">
        <f t="shared" si="9"/>
        <v>644825.84748581995</v>
      </c>
      <c r="M9" s="3">
        <f t="shared" si="9"/>
        <v>644825.84748581995</v>
      </c>
      <c r="N9" s="3">
        <f t="shared" si="9"/>
        <v>644825.84748581995</v>
      </c>
      <c r="O9" s="3">
        <f t="shared" si="9"/>
        <v>644825.84748581995</v>
      </c>
      <c r="P9" s="3">
        <f t="shared" si="9"/>
        <v>644825.84748581995</v>
      </c>
      <c r="Q9" s="3">
        <f t="shared" si="9"/>
        <v>644825.84748581995</v>
      </c>
      <c r="R9" s="1"/>
      <c r="S9" s="1"/>
      <c r="T9" s="2"/>
    </row>
    <row r="10" spans="1:20" ht="13.5" customHeight="1" x14ac:dyDescent="0.35">
      <c r="A10" s="1"/>
      <c r="B10" s="1" t="s">
        <v>13</v>
      </c>
      <c r="C10" s="1"/>
      <c r="D10" s="19">
        <v>-197000</v>
      </c>
      <c r="E10" s="19">
        <v>-198000</v>
      </c>
      <c r="F10" s="19">
        <v>-150000</v>
      </c>
      <c r="G10" s="19">
        <v>-198000</v>
      </c>
      <c r="H10" s="19">
        <v>-198000</v>
      </c>
      <c r="I10" s="19">
        <v>-198000</v>
      </c>
      <c r="J10" s="19">
        <v>-198000</v>
      </c>
      <c r="K10" s="19">
        <v>-198000</v>
      </c>
      <c r="L10" s="19">
        <v>-198000</v>
      </c>
      <c r="M10" s="19">
        <v>-198000</v>
      </c>
      <c r="N10" s="19">
        <v>-198000</v>
      </c>
      <c r="O10" s="19">
        <v>-198000</v>
      </c>
      <c r="P10" s="19">
        <v>-198000</v>
      </c>
      <c r="Q10" s="19">
        <v>-198000</v>
      </c>
      <c r="R10" s="1"/>
      <c r="S10" s="1"/>
      <c r="T10" s="2"/>
    </row>
    <row r="11" spans="1:20" ht="13.5" customHeight="1" x14ac:dyDescent="0.35">
      <c r="A11" s="1"/>
      <c r="B11" s="1" t="s">
        <v>14</v>
      </c>
      <c r="C11" s="1"/>
      <c r="D11" s="19">
        <v>-106000</v>
      </c>
      <c r="E11" s="19">
        <v>-107000</v>
      </c>
      <c r="F11" s="19">
        <v>-108000</v>
      </c>
      <c r="G11" s="3">
        <f t="shared" ref="G11:Q11" si="10">F26*F11/E26</f>
        <v>-108509.77747808496</v>
      </c>
      <c r="H11" s="3">
        <f t="shared" si="10"/>
        <v>-109346.55700092165</v>
      </c>
      <c r="I11" s="3">
        <f t="shared" si="10"/>
        <v>-110122.39775877766</v>
      </c>
      <c r="J11" s="3">
        <f t="shared" si="10"/>
        <v>-110841.73763878577</v>
      </c>
      <c r="K11" s="3">
        <f t="shared" si="10"/>
        <v>-111508.69133737723</v>
      </c>
      <c r="L11" s="3">
        <f t="shared" si="10"/>
        <v>-112127.07389675904</v>
      </c>
      <c r="M11" s="3">
        <f t="shared" si="10"/>
        <v>-112700.42252733896</v>
      </c>
      <c r="N11" s="3">
        <f t="shared" si="10"/>
        <v>-113232.01684092452</v>
      </c>
      <c r="O11" s="3">
        <f t="shared" si="10"/>
        <v>-113724.89761043238</v>
      </c>
      <c r="P11" s="3">
        <f t="shared" si="10"/>
        <v>-114181.88416341506</v>
      </c>
      <c r="Q11" s="3">
        <f t="shared" si="10"/>
        <v>-114605.59050889798</v>
      </c>
      <c r="R11" s="1"/>
      <c r="S11" s="1"/>
      <c r="T11" s="2"/>
    </row>
    <row r="12" spans="1:20" x14ac:dyDescent="0.35">
      <c r="A12" s="1"/>
      <c r="B12" s="1" t="s">
        <v>15</v>
      </c>
      <c r="C12" s="1"/>
      <c r="D12" s="3">
        <f t="shared" ref="D12:Q12" si="11">D9+D10+D11</f>
        <v>270825</v>
      </c>
      <c r="E12" s="3">
        <f t="shared" si="11"/>
        <v>-62000</v>
      </c>
      <c r="F12" s="3">
        <f t="shared" si="11"/>
        <v>-258000</v>
      </c>
      <c r="G12" s="3">
        <f t="shared" si="11"/>
        <v>-306509.77747808496</v>
      </c>
      <c r="H12" s="3">
        <f t="shared" si="11"/>
        <v>22653.442999078354</v>
      </c>
      <c r="I12" s="3">
        <f t="shared" si="11"/>
        <v>164019.60224122234</v>
      </c>
      <c r="J12" s="3">
        <f t="shared" si="11"/>
        <v>232744.82436121427</v>
      </c>
      <c r="K12" s="3">
        <f t="shared" si="11"/>
        <v>310747.05424462265</v>
      </c>
      <c r="L12" s="3">
        <f t="shared" si="11"/>
        <v>334698.77358906087</v>
      </c>
      <c r="M12" s="3">
        <f t="shared" si="11"/>
        <v>334125.42495848099</v>
      </c>
      <c r="N12" s="3">
        <f t="shared" si="11"/>
        <v>333593.83064489544</v>
      </c>
      <c r="O12" s="3">
        <f t="shared" si="11"/>
        <v>333100.9498753876</v>
      </c>
      <c r="P12" s="3">
        <f t="shared" si="11"/>
        <v>332643.96332240489</v>
      </c>
      <c r="Q12" s="3">
        <f t="shared" si="11"/>
        <v>332220.25697692198</v>
      </c>
      <c r="R12" s="1"/>
      <c r="S12" s="1"/>
      <c r="T12" s="2"/>
    </row>
    <row r="13" spans="1:20" ht="13.9" x14ac:dyDescent="0.4">
      <c r="A13" s="1"/>
      <c r="B13" s="4" t="str">
        <f>B12&amp;" [%]"</f>
        <v>EBIT [%]</v>
      </c>
      <c r="C13" s="4"/>
      <c r="D13" s="5">
        <f t="shared" ref="D13:Q13" si="12">IFERROR(D12/D$6,"-")</f>
        <v>0.19433830256713847</v>
      </c>
      <c r="E13" s="5">
        <f t="shared" si="12"/>
        <v>-9.0247452692867547E-2</v>
      </c>
      <c r="F13" s="5">
        <f t="shared" si="12"/>
        <v>-0.44791666666666669</v>
      </c>
      <c r="G13" s="5">
        <f t="shared" si="12"/>
        <v>-0.425708024275118</v>
      </c>
      <c r="H13" s="5">
        <f t="shared" si="12"/>
        <v>2.0190234402030618E-2</v>
      </c>
      <c r="I13" s="5">
        <f t="shared" si="12"/>
        <v>0.13157968383032609</v>
      </c>
      <c r="J13" s="5">
        <f t="shared" si="12"/>
        <v>0.1680579483516787</v>
      </c>
      <c r="K13" s="5">
        <f t="shared" si="12"/>
        <v>0.20196308067685834</v>
      </c>
      <c r="L13" s="5">
        <f t="shared" si="12"/>
        <v>0.21537620162931645</v>
      </c>
      <c r="M13" s="5">
        <f t="shared" si="12"/>
        <v>0.21500725599817624</v>
      </c>
      <c r="N13" s="5">
        <f t="shared" si="12"/>
        <v>0.21466517896323506</v>
      </c>
      <c r="O13" s="5">
        <f t="shared" si="12"/>
        <v>0.21434801380946289</v>
      </c>
      <c r="P13" s="5">
        <f t="shared" si="12"/>
        <v>0.21405394632029445</v>
      </c>
      <c r="Q13" s="5">
        <f t="shared" si="12"/>
        <v>0.21378129440012819</v>
      </c>
      <c r="R13" s="1"/>
      <c r="S13" s="1"/>
      <c r="T13" s="2"/>
    </row>
    <row r="14" spans="1:20" ht="13.5" customHeight="1" x14ac:dyDescent="0.35">
      <c r="A14" s="1"/>
      <c r="B14" s="1" t="s">
        <v>16</v>
      </c>
      <c r="C14" s="1"/>
      <c r="D14" s="19">
        <v>-42000</v>
      </c>
      <c r="E14" s="19">
        <v>-75000</v>
      </c>
      <c r="F14" s="19">
        <v>-120000</v>
      </c>
      <c r="G14" s="3">
        <f t="shared" ref="G14:Q14" si="13">$T$4*(F30+F32)-$T$5*F29</f>
        <v>-87022.800000000017</v>
      </c>
      <c r="H14" s="3">
        <f t="shared" si="13"/>
        <v>-22662.272947808495</v>
      </c>
      <c r="I14" s="3">
        <f t="shared" si="13"/>
        <v>-42163.218633345299</v>
      </c>
      <c r="J14" s="3">
        <f t="shared" si="13"/>
        <v>-51673.541312755624</v>
      </c>
      <c r="K14" s="3">
        <f t="shared" si="13"/>
        <v>-61197.269758659</v>
      </c>
      <c r="L14" s="3">
        <f t="shared" si="13"/>
        <v>-59500.000000000007</v>
      </c>
      <c r="M14" s="3">
        <f t="shared" si="13"/>
        <v>-56000.000000000007</v>
      </c>
      <c r="N14" s="3">
        <f t="shared" si="13"/>
        <v>-52500.000000000007</v>
      </c>
      <c r="O14" s="3">
        <f t="shared" si="13"/>
        <v>-49000.000000000007</v>
      </c>
      <c r="P14" s="3">
        <f t="shared" si="13"/>
        <v>-45500.000000000007</v>
      </c>
      <c r="Q14" s="3">
        <f t="shared" si="13"/>
        <v>-42000.000000000007</v>
      </c>
      <c r="R14" s="1"/>
      <c r="S14" s="1"/>
      <c r="T14" s="2"/>
    </row>
    <row r="15" spans="1:20" x14ac:dyDescent="0.35">
      <c r="A15" s="1"/>
      <c r="B15" s="1" t="s">
        <v>17</v>
      </c>
      <c r="C15" s="1"/>
      <c r="D15" s="3">
        <f t="shared" ref="D15:Q15" si="14">D9+D10+D14</f>
        <v>334825</v>
      </c>
      <c r="E15" s="3">
        <f t="shared" si="14"/>
        <v>-30000</v>
      </c>
      <c r="F15" s="3">
        <f t="shared" si="14"/>
        <v>-270000</v>
      </c>
      <c r="G15" s="3">
        <f t="shared" si="14"/>
        <v>-285022.80000000005</v>
      </c>
      <c r="H15" s="3">
        <f t="shared" si="14"/>
        <v>109337.72705219151</v>
      </c>
      <c r="I15" s="3">
        <f t="shared" si="14"/>
        <v>231978.7813666547</v>
      </c>
      <c r="J15" s="3">
        <f t="shared" si="14"/>
        <v>291913.02068724443</v>
      </c>
      <c r="K15" s="3">
        <f t="shared" si="14"/>
        <v>361058.47582334088</v>
      </c>
      <c r="L15" s="3">
        <f t="shared" si="14"/>
        <v>387325.84748581995</v>
      </c>
      <c r="M15" s="3">
        <f t="shared" si="14"/>
        <v>390825.84748581995</v>
      </c>
      <c r="N15" s="3">
        <f t="shared" si="14"/>
        <v>394325.84748581995</v>
      </c>
      <c r="O15" s="3">
        <f t="shared" si="14"/>
        <v>397825.84748581995</v>
      </c>
      <c r="P15" s="3">
        <f t="shared" si="14"/>
        <v>401325.84748581995</v>
      </c>
      <c r="Q15" s="3">
        <f t="shared" si="14"/>
        <v>404825.84748581995</v>
      </c>
      <c r="R15" s="1"/>
      <c r="S15" s="1"/>
      <c r="T15" s="2"/>
    </row>
    <row r="16" spans="1:20" ht="13.5" customHeight="1" x14ac:dyDescent="0.35">
      <c r="A16" s="1"/>
      <c r="B16" s="1" t="s">
        <v>18</v>
      </c>
      <c r="C16" s="1"/>
      <c r="D16" s="19">
        <v>-149654.74000000002</v>
      </c>
      <c r="E16" s="19">
        <v>5000</v>
      </c>
      <c r="F16" s="19">
        <v>8000</v>
      </c>
      <c r="G16" s="3">
        <f t="shared" ref="G16:Q16" si="15">G15*$T$6</f>
        <v>96907.752000000022</v>
      </c>
      <c r="H16" s="3">
        <f t="shared" si="15"/>
        <v>-37174.827197745115</v>
      </c>
      <c r="I16" s="3">
        <f t="shared" si="15"/>
        <v>-78872.785664662602</v>
      </c>
      <c r="J16" s="3">
        <f t="shared" si="15"/>
        <v>-99250.427033663116</v>
      </c>
      <c r="K16" s="3">
        <f t="shared" si="15"/>
        <v>-122759.88177993591</v>
      </c>
      <c r="L16" s="3">
        <f t="shared" si="15"/>
        <v>-131690.78814517878</v>
      </c>
      <c r="M16" s="3">
        <f t="shared" si="15"/>
        <v>-132880.78814517878</v>
      </c>
      <c r="N16" s="3">
        <f t="shared" si="15"/>
        <v>-134070.78814517878</v>
      </c>
      <c r="O16" s="3">
        <f t="shared" si="15"/>
        <v>-135260.78814517878</v>
      </c>
      <c r="P16" s="3">
        <f t="shared" si="15"/>
        <v>-136450.78814517878</v>
      </c>
      <c r="Q16" s="3">
        <f t="shared" si="15"/>
        <v>-137640.78814517878</v>
      </c>
      <c r="R16" s="1"/>
      <c r="S16" s="1"/>
      <c r="T16" s="2"/>
    </row>
    <row r="17" spans="1:20" ht="13.9" x14ac:dyDescent="0.4">
      <c r="A17" s="1"/>
      <c r="B17" s="20" t="s">
        <v>19</v>
      </c>
      <c r="C17" s="20"/>
      <c r="D17" s="21">
        <f t="shared" ref="D17:Q17" si="16">D15+D16</f>
        <v>185170.25999999998</v>
      </c>
      <c r="E17" s="21">
        <f t="shared" si="16"/>
        <v>-25000</v>
      </c>
      <c r="F17" s="21">
        <f t="shared" si="16"/>
        <v>-262000</v>
      </c>
      <c r="G17" s="21">
        <f t="shared" si="16"/>
        <v>-188115.04800000001</v>
      </c>
      <c r="H17" s="21">
        <f t="shared" si="16"/>
        <v>72162.899854446383</v>
      </c>
      <c r="I17" s="21">
        <f t="shared" si="16"/>
        <v>153105.9957019921</v>
      </c>
      <c r="J17" s="21">
        <f t="shared" si="16"/>
        <v>192662.59365358131</v>
      </c>
      <c r="K17" s="21">
        <f t="shared" si="16"/>
        <v>238298.59404340497</v>
      </c>
      <c r="L17" s="21">
        <f t="shared" si="16"/>
        <v>255635.05934064116</v>
      </c>
      <c r="M17" s="21">
        <f t="shared" si="16"/>
        <v>257945.05934064116</v>
      </c>
      <c r="N17" s="21">
        <f t="shared" si="16"/>
        <v>260255.05934064116</v>
      </c>
      <c r="O17" s="21">
        <f t="shared" si="16"/>
        <v>262565.05934064114</v>
      </c>
      <c r="P17" s="21">
        <f t="shared" si="16"/>
        <v>264875.05934064114</v>
      </c>
      <c r="Q17" s="21">
        <f t="shared" si="16"/>
        <v>267185.05934064114</v>
      </c>
      <c r="R17" s="1"/>
      <c r="S17" s="1"/>
      <c r="T17" s="2"/>
    </row>
    <row r="18" spans="1:20" ht="13.9" x14ac:dyDescent="0.4">
      <c r="A18" s="1"/>
      <c r="B18" s="4" t="str">
        <f>B17&amp;" [%]"</f>
        <v>Net Profit [%]</v>
      </c>
      <c r="C18" s="4"/>
      <c r="D18" s="5">
        <f t="shared" ref="D18:Q18" si="17">IFERROR(D17/D$6,"-")</f>
        <v>0.13287426941499381</v>
      </c>
      <c r="E18" s="5">
        <f t="shared" si="17"/>
        <v>-3.6390101892285295E-2</v>
      </c>
      <c r="F18" s="5">
        <f t="shared" si="17"/>
        <v>-0.4548611111111111</v>
      </c>
      <c r="G18" s="5">
        <f t="shared" si="17"/>
        <v>-0.26127090000000003</v>
      </c>
      <c r="H18" s="5">
        <f t="shared" si="17"/>
        <v>6.4316310030700874E-2</v>
      </c>
      <c r="I18" s="5">
        <f t="shared" si="17"/>
        <v>0.12282457847548826</v>
      </c>
      <c r="J18" s="5">
        <f t="shared" si="17"/>
        <v>0.13911579044732447</v>
      </c>
      <c r="K18" s="5">
        <f t="shared" si="17"/>
        <v>0.15487682832894606</v>
      </c>
      <c r="L18" s="5">
        <f t="shared" si="17"/>
        <v>0.16449928242543069</v>
      </c>
      <c r="M18" s="5">
        <f t="shared" si="17"/>
        <v>0.16598575045287128</v>
      </c>
      <c r="N18" s="5">
        <f t="shared" si="17"/>
        <v>0.16747221848031191</v>
      </c>
      <c r="O18" s="5">
        <f t="shared" si="17"/>
        <v>0.16895868650775248</v>
      </c>
      <c r="P18" s="5">
        <f t="shared" si="17"/>
        <v>0.1704451545351931</v>
      </c>
      <c r="Q18" s="5">
        <f t="shared" si="17"/>
        <v>0.1719316225626337</v>
      </c>
      <c r="R18" s="1"/>
      <c r="S18" s="1"/>
      <c r="T18" s="2"/>
    </row>
    <row r="19" spans="1:20" x14ac:dyDescent="0.35">
      <c r="A19" s="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1"/>
      <c r="S19" s="1"/>
      <c r="T19" s="2"/>
    </row>
    <row r="20" spans="1:20" ht="17.649999999999999" x14ac:dyDescent="0.5">
      <c r="A20" s="1"/>
      <c r="B20" s="1"/>
      <c r="C20" s="1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"/>
      <c r="S20" s="1"/>
      <c r="T20" s="2"/>
    </row>
    <row r="21" spans="1:20" ht="13.5" customHeight="1" x14ac:dyDescent="0.4">
      <c r="A21" s="1"/>
      <c r="B21" s="13" t="s">
        <v>20</v>
      </c>
      <c r="C21" s="13"/>
      <c r="D21" s="14">
        <v>2007</v>
      </c>
      <c r="E21" s="14">
        <f t="shared" ref="E21:Q21" si="18">D21+1</f>
        <v>2008</v>
      </c>
      <c r="F21" s="14">
        <f t="shared" si="18"/>
        <v>2009</v>
      </c>
      <c r="G21" s="15">
        <f t="shared" si="18"/>
        <v>2010</v>
      </c>
      <c r="H21" s="15">
        <f t="shared" si="18"/>
        <v>2011</v>
      </c>
      <c r="I21" s="15">
        <f t="shared" si="18"/>
        <v>2012</v>
      </c>
      <c r="J21" s="15">
        <f t="shared" si="18"/>
        <v>2013</v>
      </c>
      <c r="K21" s="15">
        <f t="shared" si="18"/>
        <v>2014</v>
      </c>
      <c r="L21" s="15">
        <f t="shared" si="18"/>
        <v>2015</v>
      </c>
      <c r="M21" s="15">
        <f t="shared" si="18"/>
        <v>2016</v>
      </c>
      <c r="N21" s="15">
        <f t="shared" si="18"/>
        <v>2017</v>
      </c>
      <c r="O21" s="15">
        <f t="shared" si="18"/>
        <v>2018</v>
      </c>
      <c r="P21" s="15">
        <f t="shared" si="18"/>
        <v>2019</v>
      </c>
      <c r="Q21" s="15">
        <f t="shared" si="18"/>
        <v>2020</v>
      </c>
      <c r="R21" s="1"/>
      <c r="S21" s="1"/>
      <c r="T21" s="2"/>
    </row>
    <row r="22" spans="1:20" ht="13.5" customHeight="1" x14ac:dyDescent="0.35">
      <c r="A22" s="1"/>
      <c r="B22" s="7" t="s">
        <v>21</v>
      </c>
      <c r="C22" s="7"/>
      <c r="D22" s="19">
        <v>200000</v>
      </c>
      <c r="E22" s="3">
        <f t="shared" ref="E22:Q22" si="19">E46</f>
        <v>203228</v>
      </c>
      <c r="F22" s="3">
        <f t="shared" si="19"/>
        <v>175000</v>
      </c>
      <c r="G22" s="3">
        <f t="shared" si="19"/>
        <v>175000</v>
      </c>
      <c r="H22" s="3">
        <f t="shared" si="19"/>
        <v>175000</v>
      </c>
      <c r="I22" s="3">
        <f t="shared" si="19"/>
        <v>175000</v>
      </c>
      <c r="J22" s="3">
        <f t="shared" si="19"/>
        <v>175000</v>
      </c>
      <c r="K22" s="3">
        <f t="shared" si="19"/>
        <v>330224.21766887209</v>
      </c>
      <c r="L22" s="3">
        <f t="shared" si="19"/>
        <v>525938.84241428715</v>
      </c>
      <c r="M22" s="3">
        <f t="shared" si="19"/>
        <v>726584.32428226713</v>
      </c>
      <c r="N22" s="3">
        <f t="shared" si="19"/>
        <v>930071.40046383278</v>
      </c>
      <c r="O22" s="3">
        <f t="shared" si="19"/>
        <v>1136361.3574149061</v>
      </c>
      <c r="P22" s="3">
        <f t="shared" si="19"/>
        <v>1345418.3009189623</v>
      </c>
      <c r="Q22" s="3">
        <f t="shared" si="19"/>
        <v>1557208.9507685024</v>
      </c>
      <c r="R22" s="1"/>
      <c r="S22" s="1"/>
      <c r="T22" s="2"/>
    </row>
    <row r="23" spans="1:20" ht="13.5" customHeight="1" x14ac:dyDescent="0.35">
      <c r="A23" s="1"/>
      <c r="B23" s="7" t="s">
        <v>22</v>
      </c>
      <c r="C23" s="7"/>
      <c r="D23" s="19">
        <v>100000</v>
      </c>
      <c r="E23" s="19">
        <v>43000</v>
      </c>
      <c r="F23" s="19">
        <v>22000</v>
      </c>
      <c r="G23" s="19">
        <f t="shared" ref="G23:Q23" si="20">G6/12</f>
        <v>60000</v>
      </c>
      <c r="H23" s="19">
        <f t="shared" si="20"/>
        <v>93500</v>
      </c>
      <c r="I23" s="19">
        <f t="shared" si="20"/>
        <v>103878.5</v>
      </c>
      <c r="J23" s="19">
        <f t="shared" si="20"/>
        <v>115409.0135</v>
      </c>
      <c r="K23" s="19">
        <f t="shared" si="20"/>
        <v>128219.41399849999</v>
      </c>
      <c r="L23" s="19">
        <f t="shared" si="20"/>
        <v>129501.608138485</v>
      </c>
      <c r="M23" s="19">
        <f t="shared" si="20"/>
        <v>129501.608138485</v>
      </c>
      <c r="N23" s="19">
        <f t="shared" si="20"/>
        <v>129501.608138485</v>
      </c>
      <c r="O23" s="19">
        <f t="shared" si="20"/>
        <v>129501.608138485</v>
      </c>
      <c r="P23" s="19">
        <f t="shared" si="20"/>
        <v>129501.608138485</v>
      </c>
      <c r="Q23" s="19">
        <f t="shared" si="20"/>
        <v>129501.608138485</v>
      </c>
      <c r="R23" s="1"/>
      <c r="S23" s="1"/>
      <c r="T23" s="2"/>
    </row>
    <row r="24" spans="1:20" ht="13.5" customHeight="1" x14ac:dyDescent="0.35">
      <c r="A24" s="1"/>
      <c r="B24" s="7" t="s">
        <v>23</v>
      </c>
      <c r="C24" s="7"/>
      <c r="D24" s="19">
        <v>530000</v>
      </c>
      <c r="E24" s="19">
        <f t="shared" ref="E24:Q24" si="21">D24+(E3-E4)*(-E7)</f>
        <v>942772</v>
      </c>
      <c r="F24" s="19">
        <f t="shared" si="21"/>
        <v>906772</v>
      </c>
      <c r="G24" s="19">
        <f t="shared" si="21"/>
        <v>726772</v>
      </c>
      <c r="H24" s="19">
        <f t="shared" si="21"/>
        <v>474772</v>
      </c>
      <c r="I24" s="19">
        <f t="shared" si="21"/>
        <v>444532</v>
      </c>
      <c r="J24" s="19">
        <f t="shared" si="21"/>
        <v>444532</v>
      </c>
      <c r="K24" s="19">
        <f t="shared" si="21"/>
        <v>444532.00000000012</v>
      </c>
      <c r="L24" s="19">
        <f t="shared" si="21"/>
        <v>444532.00000000023</v>
      </c>
      <c r="M24" s="19">
        <f t="shared" si="21"/>
        <v>444532.00000000035</v>
      </c>
      <c r="N24" s="19">
        <f t="shared" si="21"/>
        <v>444532.00000000047</v>
      </c>
      <c r="O24" s="19">
        <f t="shared" si="21"/>
        <v>444532.00000000058</v>
      </c>
      <c r="P24" s="19">
        <f t="shared" si="21"/>
        <v>444532.0000000007</v>
      </c>
      <c r="Q24" s="19">
        <f t="shared" si="21"/>
        <v>444531.99999999971</v>
      </c>
      <c r="R24" s="1"/>
      <c r="S24" s="1"/>
      <c r="T24" s="2"/>
    </row>
    <row r="25" spans="1:20" x14ac:dyDescent="0.35">
      <c r="A25" s="1"/>
      <c r="B25" s="7" t="s">
        <v>24</v>
      </c>
      <c r="C25" s="7"/>
      <c r="D25" s="3">
        <f t="shared" ref="D25:Q25" si="22">SUM(D22:D24)</f>
        <v>830000</v>
      </c>
      <c r="E25" s="3">
        <f t="shared" si="22"/>
        <v>1189000</v>
      </c>
      <c r="F25" s="3">
        <f t="shared" si="22"/>
        <v>1103772</v>
      </c>
      <c r="G25" s="3">
        <f t="shared" si="22"/>
        <v>961772</v>
      </c>
      <c r="H25" s="3">
        <f t="shared" si="22"/>
        <v>743272</v>
      </c>
      <c r="I25" s="3">
        <f t="shared" si="22"/>
        <v>723410.5</v>
      </c>
      <c r="J25" s="3">
        <f t="shared" si="22"/>
        <v>734941.0135</v>
      </c>
      <c r="K25" s="3">
        <f t="shared" si="22"/>
        <v>902975.63166737219</v>
      </c>
      <c r="L25" s="3">
        <f t="shared" si="22"/>
        <v>1099972.4505527723</v>
      </c>
      <c r="M25" s="3">
        <f t="shared" si="22"/>
        <v>1300617.9324207525</v>
      </c>
      <c r="N25" s="3">
        <f t="shared" si="22"/>
        <v>1504105.0086023184</v>
      </c>
      <c r="O25" s="3">
        <f t="shared" si="22"/>
        <v>1710394.9655533917</v>
      </c>
      <c r="P25" s="3">
        <f t="shared" si="22"/>
        <v>1919451.9090574479</v>
      </c>
      <c r="Q25" s="3">
        <f t="shared" si="22"/>
        <v>2131242.5589069868</v>
      </c>
      <c r="R25" s="1"/>
      <c r="S25" s="1"/>
      <c r="T25" s="2"/>
    </row>
    <row r="26" spans="1:20" ht="13.5" customHeight="1" x14ac:dyDescent="0.35">
      <c r="A26" s="1"/>
      <c r="B26" s="7" t="s">
        <v>25</v>
      </c>
      <c r="C26" s="7"/>
      <c r="D26" s="19">
        <v>1470000</v>
      </c>
      <c r="E26" s="3">
        <f t="shared" ref="E26:Q26" si="23">D26+E40-E43</f>
        <v>1483000</v>
      </c>
      <c r="F26" s="3">
        <f t="shared" si="23"/>
        <v>1490000</v>
      </c>
      <c r="G26" s="3">
        <f t="shared" si="23"/>
        <v>1501490.2225219151</v>
      </c>
      <c r="H26" s="3">
        <f t="shared" si="23"/>
        <v>1512143.6655209935</v>
      </c>
      <c r="I26" s="3">
        <f t="shared" si="23"/>
        <v>1522021.2677622158</v>
      </c>
      <c r="J26" s="3">
        <f t="shared" si="23"/>
        <v>1531179.5301234301</v>
      </c>
      <c r="K26" s="3">
        <f t="shared" si="23"/>
        <v>1539670.8387860528</v>
      </c>
      <c r="L26" s="3">
        <f t="shared" si="23"/>
        <v>1547543.7648892938</v>
      </c>
      <c r="M26" s="3">
        <f t="shared" si="23"/>
        <v>1554843.342361955</v>
      </c>
      <c r="N26" s="3">
        <f t="shared" si="23"/>
        <v>1561611.3255210305</v>
      </c>
      <c r="O26" s="3">
        <f t="shared" si="23"/>
        <v>1567886.427910598</v>
      </c>
      <c r="P26" s="3">
        <f t="shared" si="23"/>
        <v>1573704.5437471829</v>
      </c>
      <c r="Q26" s="3">
        <f t="shared" si="23"/>
        <v>1579098.9532382849</v>
      </c>
      <c r="R26" s="1"/>
      <c r="S26" s="1"/>
      <c r="T26" s="2"/>
    </row>
    <row r="27" spans="1:20" ht="13.9" x14ac:dyDescent="0.4">
      <c r="A27" s="1"/>
      <c r="B27" s="22" t="s">
        <v>26</v>
      </c>
      <c r="C27" s="22"/>
      <c r="D27" s="23">
        <f t="shared" ref="D27:Q27" si="24">D25+D26</f>
        <v>2300000</v>
      </c>
      <c r="E27" s="23">
        <f t="shared" si="24"/>
        <v>2672000</v>
      </c>
      <c r="F27" s="23">
        <f t="shared" si="24"/>
        <v>2593772</v>
      </c>
      <c r="G27" s="23">
        <f t="shared" si="24"/>
        <v>2463262.2225219151</v>
      </c>
      <c r="H27" s="23">
        <f t="shared" si="24"/>
        <v>2255415.6655209935</v>
      </c>
      <c r="I27" s="23">
        <f t="shared" si="24"/>
        <v>2245431.7677622158</v>
      </c>
      <c r="J27" s="23">
        <f t="shared" si="24"/>
        <v>2266120.5436234302</v>
      </c>
      <c r="K27" s="23">
        <f t="shared" si="24"/>
        <v>2442646.4704534248</v>
      </c>
      <c r="L27" s="23">
        <f t="shared" si="24"/>
        <v>2647516.2154420661</v>
      </c>
      <c r="M27" s="23">
        <f t="shared" si="24"/>
        <v>2855461.2747827074</v>
      </c>
      <c r="N27" s="23">
        <f t="shared" si="24"/>
        <v>3065716.3341233488</v>
      </c>
      <c r="O27" s="23">
        <f t="shared" si="24"/>
        <v>3278281.3934639897</v>
      </c>
      <c r="P27" s="23">
        <f t="shared" si="24"/>
        <v>3493156.4528046306</v>
      </c>
      <c r="Q27" s="23">
        <f t="shared" si="24"/>
        <v>3710341.5121452715</v>
      </c>
      <c r="R27" s="1"/>
      <c r="S27" s="1"/>
      <c r="T27" s="2"/>
    </row>
    <row r="28" spans="1:20" ht="13.5" customHeight="1" x14ac:dyDescent="0.35">
      <c r="A28" s="1"/>
      <c r="B28" s="7" t="s">
        <v>27</v>
      </c>
      <c r="C28" s="7"/>
      <c r="D28" s="19">
        <v>60000</v>
      </c>
      <c r="E28" s="19">
        <v>62000</v>
      </c>
      <c r="F28" s="19">
        <v>36000</v>
      </c>
      <c r="G28" s="19">
        <f t="shared" ref="G28:Q28" si="25">-G3*G7/12</f>
        <v>45000</v>
      </c>
      <c r="H28" s="19">
        <f t="shared" si="25"/>
        <v>45000</v>
      </c>
      <c r="I28" s="19">
        <f t="shared" si="25"/>
        <v>62013.333333333336</v>
      </c>
      <c r="J28" s="19">
        <f t="shared" si="25"/>
        <v>70276.800000000003</v>
      </c>
      <c r="K28" s="19">
        <f t="shared" si="25"/>
        <v>76531.435200000022</v>
      </c>
      <c r="L28" s="19">
        <f t="shared" si="25"/>
        <v>75766.12084800002</v>
      </c>
      <c r="M28" s="19">
        <f t="shared" si="25"/>
        <v>75766.12084800002</v>
      </c>
      <c r="N28" s="19">
        <f t="shared" si="25"/>
        <v>75766.12084800002</v>
      </c>
      <c r="O28" s="19">
        <f t="shared" si="25"/>
        <v>75766.12084800002</v>
      </c>
      <c r="P28" s="19">
        <f t="shared" si="25"/>
        <v>75766.12084800002</v>
      </c>
      <c r="Q28" s="19">
        <f t="shared" si="25"/>
        <v>75766.120847999919</v>
      </c>
      <c r="R28" s="1"/>
      <c r="S28" s="1"/>
      <c r="T28" s="2"/>
    </row>
    <row r="29" spans="1:20" ht="13.5" customHeight="1" x14ac:dyDescent="0.35">
      <c r="A29" s="1"/>
      <c r="B29" s="7" t="s">
        <v>28</v>
      </c>
      <c r="C29" s="7"/>
      <c r="D29" s="19">
        <v>55000</v>
      </c>
      <c r="E29" s="3">
        <f t="shared" ref="E29:Q29" si="26">MAX(D29+$T$7-((E42+E43+(E30+E32)-(D30+D32))+D22),0)</f>
        <v>0</v>
      </c>
      <c r="F29" s="3">
        <f t="shared" si="26"/>
        <v>109772</v>
      </c>
      <c r="G29" s="3">
        <f t="shared" si="26"/>
        <v>508377.27052191505</v>
      </c>
      <c r="H29" s="3">
        <f t="shared" si="26"/>
        <v>278367.81366654695</v>
      </c>
      <c r="I29" s="3">
        <f t="shared" si="26"/>
        <v>148264.58687244379</v>
      </c>
      <c r="J29" s="3">
        <f t="shared" si="26"/>
        <v>18027.302413410041</v>
      </c>
      <c r="K29" s="3">
        <f t="shared" si="26"/>
        <v>0</v>
      </c>
      <c r="L29" s="3">
        <f t="shared" si="26"/>
        <v>0</v>
      </c>
      <c r="M29" s="3">
        <f t="shared" si="26"/>
        <v>0</v>
      </c>
      <c r="N29" s="3">
        <f t="shared" si="26"/>
        <v>0</v>
      </c>
      <c r="O29" s="3">
        <f t="shared" si="26"/>
        <v>0</v>
      </c>
      <c r="P29" s="3">
        <f t="shared" si="26"/>
        <v>0</v>
      </c>
      <c r="Q29" s="3">
        <f t="shared" si="26"/>
        <v>0</v>
      </c>
      <c r="R29" s="1"/>
      <c r="S29" s="1"/>
      <c r="T29" s="2"/>
    </row>
    <row r="30" spans="1:20" ht="13.5" customHeight="1" x14ac:dyDescent="0.35">
      <c r="A30" s="1"/>
      <c r="B30" s="7" t="s">
        <v>29</v>
      </c>
      <c r="C30" s="7"/>
      <c r="D30" s="19">
        <v>50000</v>
      </c>
      <c r="E30" s="19">
        <v>300000</v>
      </c>
      <c r="F30" s="19">
        <v>200000</v>
      </c>
      <c r="G30" s="19">
        <v>50000</v>
      </c>
      <c r="H30" s="19">
        <f t="shared" ref="H30:Q30" si="27">MIN(G30,G32)</f>
        <v>50000</v>
      </c>
      <c r="I30" s="19">
        <f t="shared" si="27"/>
        <v>50000</v>
      </c>
      <c r="J30" s="19">
        <f t="shared" si="27"/>
        <v>50000</v>
      </c>
      <c r="K30" s="19">
        <f t="shared" si="27"/>
        <v>50000</v>
      </c>
      <c r="L30" s="19">
        <f t="shared" si="27"/>
        <v>50000</v>
      </c>
      <c r="M30" s="19">
        <f t="shared" si="27"/>
        <v>50000</v>
      </c>
      <c r="N30" s="19">
        <f t="shared" si="27"/>
        <v>50000</v>
      </c>
      <c r="O30" s="19">
        <f t="shared" si="27"/>
        <v>50000</v>
      </c>
      <c r="P30" s="19">
        <f t="shared" si="27"/>
        <v>50000</v>
      </c>
      <c r="Q30" s="19">
        <f t="shared" si="27"/>
        <v>50000</v>
      </c>
      <c r="R30" s="1"/>
      <c r="S30" s="1"/>
      <c r="T30" s="2"/>
    </row>
    <row r="31" spans="1:20" x14ac:dyDescent="0.35">
      <c r="A31" s="1"/>
      <c r="B31" s="7" t="s">
        <v>30</v>
      </c>
      <c r="C31" s="7"/>
      <c r="D31" s="3">
        <f t="shared" ref="D31:Q31" si="28">SUM(D28:D29,D30)</f>
        <v>165000</v>
      </c>
      <c r="E31" s="3">
        <f t="shared" si="28"/>
        <v>362000</v>
      </c>
      <c r="F31" s="3">
        <f t="shared" si="28"/>
        <v>345772</v>
      </c>
      <c r="G31" s="3">
        <f t="shared" si="28"/>
        <v>603377.27052191505</v>
      </c>
      <c r="H31" s="3">
        <f t="shared" si="28"/>
        <v>373367.81366654695</v>
      </c>
      <c r="I31" s="3">
        <f t="shared" si="28"/>
        <v>260277.92020577713</v>
      </c>
      <c r="J31" s="3">
        <f t="shared" si="28"/>
        <v>138304.10241341003</v>
      </c>
      <c r="K31" s="3">
        <f t="shared" si="28"/>
        <v>126531.43520000002</v>
      </c>
      <c r="L31" s="3">
        <f t="shared" si="28"/>
        <v>125766.12084800002</v>
      </c>
      <c r="M31" s="3">
        <f t="shared" si="28"/>
        <v>125766.12084800002</v>
      </c>
      <c r="N31" s="3">
        <f t="shared" si="28"/>
        <v>125766.12084800002</v>
      </c>
      <c r="O31" s="3">
        <f t="shared" si="28"/>
        <v>125766.12084800002</v>
      </c>
      <c r="P31" s="3">
        <f t="shared" si="28"/>
        <v>125766.12084800002</v>
      </c>
      <c r="Q31" s="3">
        <f t="shared" si="28"/>
        <v>125766.12084799992</v>
      </c>
      <c r="R31" s="1"/>
      <c r="S31" s="1"/>
      <c r="T31" s="2"/>
    </row>
    <row r="32" spans="1:20" ht="13.5" customHeight="1" x14ac:dyDescent="0.35">
      <c r="A32" s="1"/>
      <c r="B32" s="7" t="s">
        <v>31</v>
      </c>
      <c r="C32" s="7"/>
      <c r="D32" s="19">
        <v>800000</v>
      </c>
      <c r="E32" s="19">
        <v>1000000</v>
      </c>
      <c r="F32" s="19">
        <v>1200000</v>
      </c>
      <c r="G32" s="19">
        <f t="shared" ref="G32:Q32" si="29">MAX(F32-F30,0)</f>
        <v>1000000</v>
      </c>
      <c r="H32" s="19">
        <f t="shared" si="29"/>
        <v>950000</v>
      </c>
      <c r="I32" s="19">
        <f t="shared" si="29"/>
        <v>900000</v>
      </c>
      <c r="J32" s="19">
        <f t="shared" si="29"/>
        <v>850000</v>
      </c>
      <c r="K32" s="19">
        <f t="shared" si="29"/>
        <v>800000</v>
      </c>
      <c r="L32" s="19">
        <f t="shared" si="29"/>
        <v>750000</v>
      </c>
      <c r="M32" s="19">
        <f t="shared" si="29"/>
        <v>700000</v>
      </c>
      <c r="N32" s="19">
        <f t="shared" si="29"/>
        <v>650000</v>
      </c>
      <c r="O32" s="19">
        <f t="shared" si="29"/>
        <v>600000</v>
      </c>
      <c r="P32" s="19">
        <f t="shared" si="29"/>
        <v>550000</v>
      </c>
      <c r="Q32" s="19">
        <f t="shared" si="29"/>
        <v>500000</v>
      </c>
      <c r="R32" s="1"/>
      <c r="S32" s="1"/>
      <c r="T32" s="2"/>
    </row>
    <row r="33" spans="1:20" ht="13.5" customHeight="1" x14ac:dyDescent="0.35">
      <c r="A33" s="1"/>
      <c r="B33" s="7" t="s">
        <v>32</v>
      </c>
      <c r="C33" s="7"/>
      <c r="D33" s="19">
        <v>1335000</v>
      </c>
      <c r="E33" s="3">
        <f t="shared" ref="E33:Q33" si="30">D33+E17</f>
        <v>1310000</v>
      </c>
      <c r="F33" s="3">
        <f t="shared" si="30"/>
        <v>1048000</v>
      </c>
      <c r="G33" s="3">
        <f t="shared" si="30"/>
        <v>859884.95200000005</v>
      </c>
      <c r="H33" s="3">
        <f t="shared" si="30"/>
        <v>932047.85185444646</v>
      </c>
      <c r="I33" s="3">
        <f t="shared" si="30"/>
        <v>1085153.8475564385</v>
      </c>
      <c r="J33" s="3">
        <f t="shared" si="30"/>
        <v>1277816.4412100199</v>
      </c>
      <c r="K33" s="3">
        <f t="shared" si="30"/>
        <v>1516115.0352534249</v>
      </c>
      <c r="L33" s="3">
        <f t="shared" si="30"/>
        <v>1771750.094594066</v>
      </c>
      <c r="M33" s="3">
        <f t="shared" si="30"/>
        <v>2029695.1539347072</v>
      </c>
      <c r="N33" s="3">
        <f t="shared" si="30"/>
        <v>2289950.2132753483</v>
      </c>
      <c r="O33" s="3">
        <f t="shared" si="30"/>
        <v>2552515.2726159897</v>
      </c>
      <c r="P33" s="3">
        <f t="shared" si="30"/>
        <v>2817390.3319566306</v>
      </c>
      <c r="Q33" s="3">
        <f t="shared" si="30"/>
        <v>3084575.3912972715</v>
      </c>
      <c r="R33" s="1"/>
      <c r="S33" s="1"/>
      <c r="T33" s="2"/>
    </row>
    <row r="34" spans="1:20" ht="13.9" x14ac:dyDescent="0.4">
      <c r="A34" s="1"/>
      <c r="B34" s="22" t="s">
        <v>33</v>
      </c>
      <c r="C34" s="22"/>
      <c r="D34" s="23">
        <f t="shared" ref="D34:Q34" si="31">D33+D32+D31</f>
        <v>2300000</v>
      </c>
      <c r="E34" s="23">
        <f t="shared" si="31"/>
        <v>2672000</v>
      </c>
      <c r="F34" s="23">
        <f t="shared" si="31"/>
        <v>2593772</v>
      </c>
      <c r="G34" s="23">
        <f t="shared" si="31"/>
        <v>2463262.2225219151</v>
      </c>
      <c r="H34" s="23">
        <f t="shared" si="31"/>
        <v>2255415.6655209931</v>
      </c>
      <c r="I34" s="23">
        <f t="shared" si="31"/>
        <v>2245431.7677622158</v>
      </c>
      <c r="J34" s="23">
        <f t="shared" si="31"/>
        <v>2266120.5436234297</v>
      </c>
      <c r="K34" s="23">
        <f t="shared" si="31"/>
        <v>2442646.4704534253</v>
      </c>
      <c r="L34" s="23">
        <f t="shared" si="31"/>
        <v>2647516.2154420661</v>
      </c>
      <c r="M34" s="23">
        <f t="shared" si="31"/>
        <v>2855461.274782707</v>
      </c>
      <c r="N34" s="23">
        <f t="shared" si="31"/>
        <v>3065716.3341233484</v>
      </c>
      <c r="O34" s="23">
        <f t="shared" si="31"/>
        <v>3278281.3934639897</v>
      </c>
      <c r="P34" s="23">
        <f t="shared" si="31"/>
        <v>3493156.4528046306</v>
      </c>
      <c r="Q34" s="23">
        <f t="shared" si="31"/>
        <v>3710341.5121452715</v>
      </c>
      <c r="R34" s="1"/>
      <c r="S34" s="1"/>
      <c r="T34" s="2"/>
    </row>
    <row r="35" spans="1:20" x14ac:dyDescent="0.35">
      <c r="A35" s="1"/>
      <c r="B35" s="9"/>
      <c r="C35" s="9"/>
      <c r="D35" s="10">
        <f t="shared" ref="D35:Q35" si="32">ROUND(D27-D34,0)</f>
        <v>0</v>
      </c>
      <c r="E35" s="10">
        <f t="shared" si="32"/>
        <v>0</v>
      </c>
      <c r="F35" s="10">
        <f t="shared" si="32"/>
        <v>0</v>
      </c>
      <c r="G35" s="10">
        <f t="shared" si="32"/>
        <v>0</v>
      </c>
      <c r="H35" s="10">
        <f t="shared" si="32"/>
        <v>0</v>
      </c>
      <c r="I35" s="10">
        <f t="shared" si="32"/>
        <v>0</v>
      </c>
      <c r="J35" s="10">
        <f t="shared" si="32"/>
        <v>0</v>
      </c>
      <c r="K35" s="10">
        <f t="shared" si="32"/>
        <v>0</v>
      </c>
      <c r="L35" s="10">
        <f t="shared" si="32"/>
        <v>0</v>
      </c>
      <c r="M35" s="10">
        <f t="shared" si="32"/>
        <v>0</v>
      </c>
      <c r="N35" s="10">
        <f t="shared" si="32"/>
        <v>0</v>
      </c>
      <c r="O35" s="10">
        <f t="shared" si="32"/>
        <v>0</v>
      </c>
      <c r="P35" s="10">
        <f t="shared" si="32"/>
        <v>0</v>
      </c>
      <c r="Q35" s="10">
        <f t="shared" si="32"/>
        <v>0</v>
      </c>
      <c r="R35" s="1"/>
      <c r="S35" s="1"/>
      <c r="T35" s="2"/>
    </row>
    <row r="36" spans="1:20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2"/>
    </row>
    <row r="37" spans="1:20" ht="17.649999999999999" x14ac:dyDescent="0.5">
      <c r="A37" s="1"/>
      <c r="B37" s="1"/>
      <c r="C37" s="1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"/>
      <c r="S37" s="1"/>
      <c r="T37" s="2"/>
    </row>
    <row r="38" spans="1:20" ht="13.5" customHeight="1" x14ac:dyDescent="0.4">
      <c r="A38" s="1"/>
      <c r="B38" s="13" t="s">
        <v>34</v>
      </c>
      <c r="C38" s="13"/>
      <c r="D38" s="14">
        <v>2007</v>
      </c>
      <c r="E38" s="14">
        <f t="shared" ref="E38:Q38" si="33">D38+1</f>
        <v>2008</v>
      </c>
      <c r="F38" s="14">
        <f t="shared" si="33"/>
        <v>2009</v>
      </c>
      <c r="G38" s="15">
        <f t="shared" si="33"/>
        <v>2010</v>
      </c>
      <c r="H38" s="15">
        <f t="shared" si="33"/>
        <v>2011</v>
      </c>
      <c r="I38" s="15">
        <f t="shared" si="33"/>
        <v>2012</v>
      </c>
      <c r="J38" s="15">
        <f t="shared" si="33"/>
        <v>2013</v>
      </c>
      <c r="K38" s="15">
        <f t="shared" si="33"/>
        <v>2014</v>
      </c>
      <c r="L38" s="15">
        <f t="shared" si="33"/>
        <v>2015</v>
      </c>
      <c r="M38" s="15">
        <f t="shared" si="33"/>
        <v>2016</v>
      </c>
      <c r="N38" s="15">
        <f t="shared" si="33"/>
        <v>2017</v>
      </c>
      <c r="O38" s="15">
        <f t="shared" si="33"/>
        <v>2018</v>
      </c>
      <c r="P38" s="15">
        <f t="shared" si="33"/>
        <v>2019</v>
      </c>
      <c r="Q38" s="15">
        <f t="shared" si="33"/>
        <v>2020</v>
      </c>
      <c r="R38" s="1"/>
      <c r="S38" s="1"/>
      <c r="T38" s="2"/>
    </row>
    <row r="39" spans="1:20" x14ac:dyDescent="0.35">
      <c r="A39" s="1"/>
      <c r="B39" s="11" t="str">
        <f>B17</f>
        <v>Net Profit</v>
      </c>
      <c r="C39" s="1"/>
      <c r="D39" s="3">
        <f t="shared" ref="D39:Q39" si="34">D17</f>
        <v>185170.25999999998</v>
      </c>
      <c r="E39" s="3">
        <f t="shared" si="34"/>
        <v>-25000</v>
      </c>
      <c r="F39" s="3">
        <f t="shared" si="34"/>
        <v>-262000</v>
      </c>
      <c r="G39" s="3">
        <f t="shared" si="34"/>
        <v>-188115.04800000001</v>
      </c>
      <c r="H39" s="3">
        <f t="shared" si="34"/>
        <v>72162.899854446383</v>
      </c>
      <c r="I39" s="3">
        <f t="shared" si="34"/>
        <v>153105.9957019921</v>
      </c>
      <c r="J39" s="3">
        <f t="shared" si="34"/>
        <v>192662.59365358131</v>
      </c>
      <c r="K39" s="3">
        <f t="shared" si="34"/>
        <v>238298.59404340497</v>
      </c>
      <c r="L39" s="3">
        <f t="shared" si="34"/>
        <v>255635.05934064116</v>
      </c>
      <c r="M39" s="3">
        <f t="shared" si="34"/>
        <v>257945.05934064116</v>
      </c>
      <c r="N39" s="3">
        <f t="shared" si="34"/>
        <v>260255.05934064116</v>
      </c>
      <c r="O39" s="3">
        <f t="shared" si="34"/>
        <v>262565.05934064114</v>
      </c>
      <c r="P39" s="3">
        <f t="shared" si="34"/>
        <v>264875.05934064114</v>
      </c>
      <c r="Q39" s="3">
        <f t="shared" si="34"/>
        <v>267185.05934064114</v>
      </c>
      <c r="R39" s="1"/>
      <c r="S39" s="1"/>
      <c r="T39" s="2"/>
    </row>
    <row r="40" spans="1:20" x14ac:dyDescent="0.35">
      <c r="A40" s="1"/>
      <c r="B40" s="1" t="s">
        <v>35</v>
      </c>
      <c r="C40" s="1"/>
      <c r="D40" s="3">
        <f t="shared" ref="D40:Q40" si="35">D11</f>
        <v>-106000</v>
      </c>
      <c r="E40" s="3">
        <f t="shared" si="35"/>
        <v>-107000</v>
      </c>
      <c r="F40" s="3">
        <f t="shared" si="35"/>
        <v>-108000</v>
      </c>
      <c r="G40" s="3">
        <f t="shared" si="35"/>
        <v>-108509.77747808496</v>
      </c>
      <c r="H40" s="3">
        <f t="shared" si="35"/>
        <v>-109346.55700092165</v>
      </c>
      <c r="I40" s="3">
        <f t="shared" si="35"/>
        <v>-110122.39775877766</v>
      </c>
      <c r="J40" s="3">
        <f t="shared" si="35"/>
        <v>-110841.73763878577</v>
      </c>
      <c r="K40" s="3">
        <f t="shared" si="35"/>
        <v>-111508.69133737723</v>
      </c>
      <c r="L40" s="3">
        <f t="shared" si="35"/>
        <v>-112127.07389675904</v>
      </c>
      <c r="M40" s="3">
        <f t="shared" si="35"/>
        <v>-112700.42252733896</v>
      </c>
      <c r="N40" s="3">
        <f t="shared" si="35"/>
        <v>-113232.01684092452</v>
      </c>
      <c r="O40" s="3">
        <f t="shared" si="35"/>
        <v>-113724.89761043238</v>
      </c>
      <c r="P40" s="3">
        <f t="shared" si="35"/>
        <v>-114181.88416341506</v>
      </c>
      <c r="Q40" s="3">
        <f t="shared" si="35"/>
        <v>-114605.59050889798</v>
      </c>
      <c r="R40" s="1"/>
      <c r="S40" s="1"/>
      <c r="T40" s="2"/>
    </row>
    <row r="41" spans="1:20" ht="13.5" customHeight="1" x14ac:dyDescent="0.35">
      <c r="A41" s="1"/>
      <c r="B41" s="1" t="s">
        <v>36</v>
      </c>
      <c r="C41" s="1"/>
      <c r="D41" s="19">
        <v>-35000</v>
      </c>
      <c r="E41" s="3">
        <f t="shared" ref="E41:Q41" si="36">-((E23+E24-E28)-(D23+D24-D28))</f>
        <v>-353772</v>
      </c>
      <c r="F41" s="3">
        <f t="shared" si="36"/>
        <v>31000</v>
      </c>
      <c r="G41" s="3">
        <f t="shared" si="36"/>
        <v>151000</v>
      </c>
      <c r="H41" s="3">
        <f t="shared" si="36"/>
        <v>218500</v>
      </c>
      <c r="I41" s="3">
        <f t="shared" si="36"/>
        <v>36874.833333333314</v>
      </c>
      <c r="J41" s="3">
        <f t="shared" si="36"/>
        <v>-3267.0468333333265</v>
      </c>
      <c r="K41" s="3">
        <f t="shared" si="36"/>
        <v>-6555.765298500075</v>
      </c>
      <c r="L41" s="3">
        <f t="shared" si="36"/>
        <v>-2047.5084919850924</v>
      </c>
      <c r="M41" s="3">
        <f t="shared" si="36"/>
        <v>-1.1641532182693481E-10</v>
      </c>
      <c r="N41" s="3">
        <f t="shared" si="36"/>
        <v>-1.1641532182693481E-10</v>
      </c>
      <c r="O41" s="3">
        <f t="shared" si="36"/>
        <v>-1.1641532182693481E-10</v>
      </c>
      <c r="P41" s="3">
        <f t="shared" si="36"/>
        <v>-1.1641532182693481E-10</v>
      </c>
      <c r="Q41" s="3">
        <f t="shared" si="36"/>
        <v>9.3132257461547852E-10</v>
      </c>
      <c r="R41" s="1"/>
      <c r="S41" s="1"/>
      <c r="T41" s="2"/>
    </row>
    <row r="42" spans="1:20" x14ac:dyDescent="0.35">
      <c r="A42" s="1"/>
      <c r="B42" s="1" t="s">
        <v>37</v>
      </c>
      <c r="C42" s="1"/>
      <c r="D42" s="3">
        <f t="shared" ref="D42:Q42" si="37">D39-D40+D41</f>
        <v>256170.26</v>
      </c>
      <c r="E42" s="3">
        <f t="shared" si="37"/>
        <v>-271772</v>
      </c>
      <c r="F42" s="3">
        <f t="shared" si="37"/>
        <v>-123000</v>
      </c>
      <c r="G42" s="3">
        <f t="shared" si="37"/>
        <v>71394.729478084948</v>
      </c>
      <c r="H42" s="3">
        <f t="shared" si="37"/>
        <v>400009.45685536804</v>
      </c>
      <c r="I42" s="3">
        <f t="shared" si="37"/>
        <v>300103.2267941031</v>
      </c>
      <c r="J42" s="3">
        <f t="shared" si="37"/>
        <v>300237.28445903375</v>
      </c>
      <c r="K42" s="3">
        <f t="shared" si="37"/>
        <v>343251.52008228214</v>
      </c>
      <c r="L42" s="3">
        <f t="shared" si="37"/>
        <v>365714.62474541512</v>
      </c>
      <c r="M42" s="3">
        <f t="shared" si="37"/>
        <v>370645.48186797998</v>
      </c>
      <c r="N42" s="3">
        <f t="shared" si="37"/>
        <v>373487.07618156559</v>
      </c>
      <c r="O42" s="3">
        <f t="shared" si="37"/>
        <v>376289.95695107337</v>
      </c>
      <c r="P42" s="3">
        <f t="shared" si="37"/>
        <v>379056.94350405608</v>
      </c>
      <c r="Q42" s="3">
        <f t="shared" si="37"/>
        <v>381790.64984954003</v>
      </c>
      <c r="R42" s="1"/>
      <c r="S42" s="1"/>
      <c r="T42" s="2"/>
    </row>
    <row r="43" spans="1:20" ht="13.5" customHeight="1" x14ac:dyDescent="0.35">
      <c r="A43" s="1"/>
      <c r="B43" s="1" t="s">
        <v>38</v>
      </c>
      <c r="C43" s="1"/>
      <c r="D43" s="19">
        <v>-110000</v>
      </c>
      <c r="E43" s="19">
        <v>-120000</v>
      </c>
      <c r="F43" s="19">
        <v>-115000</v>
      </c>
      <c r="G43" s="19">
        <v>-120000</v>
      </c>
      <c r="H43" s="19">
        <f t="shared" ref="H43:Q43" si="38">G43</f>
        <v>-120000</v>
      </c>
      <c r="I43" s="19">
        <f t="shared" si="38"/>
        <v>-120000</v>
      </c>
      <c r="J43" s="19">
        <f t="shared" si="38"/>
        <v>-120000</v>
      </c>
      <c r="K43" s="19">
        <f t="shared" si="38"/>
        <v>-120000</v>
      </c>
      <c r="L43" s="19">
        <f t="shared" si="38"/>
        <v>-120000</v>
      </c>
      <c r="M43" s="19">
        <f t="shared" si="38"/>
        <v>-120000</v>
      </c>
      <c r="N43" s="19">
        <f t="shared" si="38"/>
        <v>-120000</v>
      </c>
      <c r="O43" s="19">
        <f t="shared" si="38"/>
        <v>-120000</v>
      </c>
      <c r="P43" s="19">
        <f t="shared" si="38"/>
        <v>-120000</v>
      </c>
      <c r="Q43" s="19">
        <f t="shared" si="38"/>
        <v>-120000</v>
      </c>
      <c r="R43" s="1"/>
      <c r="S43" s="1"/>
      <c r="T43" s="2"/>
    </row>
    <row r="44" spans="1:20" ht="13.5" customHeight="1" x14ac:dyDescent="0.35">
      <c r="A44" s="1"/>
      <c r="B44" s="1" t="s">
        <v>39</v>
      </c>
      <c r="C44" s="1"/>
      <c r="D44" s="19">
        <v>-52000</v>
      </c>
      <c r="E44" s="3">
        <f t="shared" ref="E44:Q44" si="39">(E29+E30+E32)-(D29+D30+D32)</f>
        <v>395000</v>
      </c>
      <c r="F44" s="3">
        <f t="shared" si="39"/>
        <v>209772</v>
      </c>
      <c r="G44" s="3">
        <f t="shared" si="39"/>
        <v>48605.270521915052</v>
      </c>
      <c r="H44" s="3">
        <f t="shared" si="39"/>
        <v>-280009.4568553681</v>
      </c>
      <c r="I44" s="3">
        <f t="shared" si="39"/>
        <v>-180103.22679410316</v>
      </c>
      <c r="J44" s="3">
        <f t="shared" si="39"/>
        <v>-180237.28445903375</v>
      </c>
      <c r="K44" s="3">
        <f t="shared" si="39"/>
        <v>-68027.302413410041</v>
      </c>
      <c r="L44" s="3">
        <f t="shared" si="39"/>
        <v>-50000</v>
      </c>
      <c r="M44" s="3">
        <f t="shared" si="39"/>
        <v>-50000</v>
      </c>
      <c r="N44" s="3">
        <f t="shared" si="39"/>
        <v>-50000</v>
      </c>
      <c r="O44" s="3">
        <f t="shared" si="39"/>
        <v>-50000</v>
      </c>
      <c r="P44" s="3">
        <f t="shared" si="39"/>
        <v>-50000</v>
      </c>
      <c r="Q44" s="3">
        <f t="shared" si="39"/>
        <v>-50000</v>
      </c>
      <c r="R44" s="1"/>
      <c r="S44" s="1"/>
      <c r="T44" s="2"/>
    </row>
    <row r="45" spans="1:20" ht="13.9" x14ac:dyDescent="0.35">
      <c r="A45" s="1"/>
      <c r="B45" s="24" t="s">
        <v>40</v>
      </c>
      <c r="C45" s="24"/>
      <c r="D45" s="23">
        <f t="shared" ref="D45:Q45" si="40">D42+D43+D44</f>
        <v>94170.260000000009</v>
      </c>
      <c r="E45" s="23">
        <f t="shared" si="40"/>
        <v>3228</v>
      </c>
      <c r="F45" s="23">
        <f t="shared" si="40"/>
        <v>-28228</v>
      </c>
      <c r="G45" s="23">
        <f t="shared" si="40"/>
        <v>0</v>
      </c>
      <c r="H45" s="23">
        <f t="shared" si="40"/>
        <v>0</v>
      </c>
      <c r="I45" s="23">
        <f t="shared" si="40"/>
        <v>0</v>
      </c>
      <c r="J45" s="23">
        <f t="shared" si="40"/>
        <v>0</v>
      </c>
      <c r="K45" s="23">
        <f t="shared" si="40"/>
        <v>155224.21766887209</v>
      </c>
      <c r="L45" s="23">
        <f t="shared" si="40"/>
        <v>195714.62474541512</v>
      </c>
      <c r="M45" s="23">
        <f t="shared" si="40"/>
        <v>200645.48186797998</v>
      </c>
      <c r="N45" s="23">
        <f t="shared" si="40"/>
        <v>203487.07618156559</v>
      </c>
      <c r="O45" s="23">
        <f t="shared" si="40"/>
        <v>206289.95695107337</v>
      </c>
      <c r="P45" s="23">
        <f t="shared" si="40"/>
        <v>209056.94350405608</v>
      </c>
      <c r="Q45" s="23">
        <f t="shared" si="40"/>
        <v>211790.64984954003</v>
      </c>
      <c r="R45" s="1"/>
      <c r="S45" s="1"/>
      <c r="T45" s="2"/>
    </row>
    <row r="46" spans="1:20" x14ac:dyDescent="0.35">
      <c r="A46" s="1"/>
      <c r="B46" s="1" t="s">
        <v>41</v>
      </c>
      <c r="C46" s="1"/>
      <c r="D46" s="8">
        <f>D22</f>
        <v>200000</v>
      </c>
      <c r="E46" s="3">
        <f t="shared" ref="E46:Q46" si="41">D22+E45</f>
        <v>203228</v>
      </c>
      <c r="F46" s="3">
        <f t="shared" si="41"/>
        <v>175000</v>
      </c>
      <c r="G46" s="3">
        <f t="shared" si="41"/>
        <v>175000</v>
      </c>
      <c r="H46" s="3">
        <f t="shared" si="41"/>
        <v>175000</v>
      </c>
      <c r="I46" s="3">
        <f t="shared" si="41"/>
        <v>175000</v>
      </c>
      <c r="J46" s="3">
        <f t="shared" si="41"/>
        <v>175000</v>
      </c>
      <c r="K46" s="3">
        <f t="shared" si="41"/>
        <v>330224.21766887209</v>
      </c>
      <c r="L46" s="3">
        <f t="shared" si="41"/>
        <v>525938.84241428715</v>
      </c>
      <c r="M46" s="3">
        <f t="shared" si="41"/>
        <v>726584.32428226713</v>
      </c>
      <c r="N46" s="3">
        <f t="shared" si="41"/>
        <v>930071.40046383278</v>
      </c>
      <c r="O46" s="3">
        <f t="shared" si="41"/>
        <v>1136361.3574149061</v>
      </c>
      <c r="P46" s="3">
        <f t="shared" si="41"/>
        <v>1345418.3009189623</v>
      </c>
      <c r="Q46" s="3">
        <f t="shared" si="41"/>
        <v>1557208.9507685024</v>
      </c>
      <c r="R46" s="1"/>
      <c r="S46" s="1"/>
      <c r="T46" s="2"/>
    </row>
    <row r="47" spans="1:20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2"/>
    </row>
  </sheetData>
  <mergeCells count="1">
    <mergeCell ref="S2:T2"/>
  </mergeCells>
  <pageMargins left="0.25" right="0.25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25"/>
  <sheetViews>
    <sheetView showGridLines="0" zoomScale="85" zoomScaleNormal="85" workbookViewId="0">
      <selection activeCell="B2" sqref="B2"/>
    </sheetView>
  </sheetViews>
  <sheetFormatPr defaultColWidth="9" defaultRowHeight="13.5" x14ac:dyDescent="0.35"/>
  <cols>
    <col min="1" max="1" width="2.125" customWidth="1"/>
    <col min="2" max="2" width="20.6875" bestFit="1" customWidth="1"/>
    <col min="3" max="3" width="2.125" customWidth="1"/>
    <col min="19" max="19" width="18.1875" bestFit="1" customWidth="1"/>
  </cols>
  <sheetData>
    <row r="1" spans="1:20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13.5" customHeight="1" x14ac:dyDescent="0.4">
      <c r="A2" s="1"/>
      <c r="B2" s="13" t="s">
        <v>42</v>
      </c>
      <c r="C2" s="13"/>
      <c r="D2" s="14">
        <v>2007</v>
      </c>
      <c r="E2" s="14">
        <f t="shared" ref="E2:Q2" si="0">D2+1</f>
        <v>2008</v>
      </c>
      <c r="F2" s="14">
        <f t="shared" si="0"/>
        <v>2009</v>
      </c>
      <c r="G2" s="15">
        <f t="shared" si="0"/>
        <v>2010</v>
      </c>
      <c r="H2" s="15">
        <f t="shared" si="0"/>
        <v>2011</v>
      </c>
      <c r="I2" s="15">
        <f t="shared" si="0"/>
        <v>2012</v>
      </c>
      <c r="J2" s="15">
        <f t="shared" si="0"/>
        <v>2013</v>
      </c>
      <c r="K2" s="15">
        <f t="shared" si="0"/>
        <v>2014</v>
      </c>
      <c r="L2" s="15">
        <f t="shared" si="0"/>
        <v>2015</v>
      </c>
      <c r="M2" s="15">
        <f t="shared" si="0"/>
        <v>2016</v>
      </c>
      <c r="N2" s="15">
        <f t="shared" si="0"/>
        <v>2017</v>
      </c>
      <c r="O2" s="15">
        <f t="shared" si="0"/>
        <v>2018</v>
      </c>
      <c r="P2" s="15">
        <f t="shared" si="0"/>
        <v>2019</v>
      </c>
      <c r="Q2" s="15">
        <f t="shared" si="0"/>
        <v>2020</v>
      </c>
      <c r="R2" s="1"/>
      <c r="S2" s="138" t="s">
        <v>1</v>
      </c>
      <c r="T2" s="139"/>
    </row>
    <row r="3" spans="1:20" ht="13.5" customHeight="1" x14ac:dyDescent="0.35">
      <c r="A3" s="1"/>
      <c r="B3" s="1" t="s">
        <v>2</v>
      </c>
      <c r="C3" s="1"/>
      <c r="D3" s="16">
        <v>5465</v>
      </c>
      <c r="E3" s="16">
        <v>5789</v>
      </c>
      <c r="F3" s="16">
        <v>3000</v>
      </c>
      <c r="G3" s="16">
        <f t="shared" ref="G3:Q3" si="1">MAX(SUM($D4:G4)-SUM($D3:F3),3000)</f>
        <v>3000</v>
      </c>
      <c r="H3" s="16">
        <f t="shared" si="1"/>
        <v>3000</v>
      </c>
      <c r="I3" s="16">
        <f t="shared" si="1"/>
        <v>4651</v>
      </c>
      <c r="J3" s="16">
        <f t="shared" si="1"/>
        <v>5324</v>
      </c>
      <c r="K3" s="16">
        <f t="shared" si="1"/>
        <v>5856.4000000000015</v>
      </c>
      <c r="L3" s="16">
        <f t="shared" si="1"/>
        <v>5856.4000000000015</v>
      </c>
      <c r="M3" s="16">
        <f t="shared" si="1"/>
        <v>5856.4000000000015</v>
      </c>
      <c r="N3" s="16">
        <f t="shared" si="1"/>
        <v>5856.4000000000015</v>
      </c>
      <c r="O3" s="16">
        <f t="shared" si="1"/>
        <v>5856.4000000000015</v>
      </c>
      <c r="P3" s="16">
        <f t="shared" si="1"/>
        <v>5856.4000000000015</v>
      </c>
      <c r="Q3" s="16">
        <f t="shared" si="1"/>
        <v>5856.3999999999942</v>
      </c>
      <c r="R3" s="1"/>
      <c r="S3" s="1"/>
      <c r="T3" s="2"/>
    </row>
    <row r="4" spans="1:20" ht="13.5" customHeight="1" x14ac:dyDescent="0.35">
      <c r="A4" s="1"/>
      <c r="B4" s="1" t="s">
        <v>3</v>
      </c>
      <c r="C4" s="1"/>
      <c r="D4" s="16">
        <v>5465</v>
      </c>
      <c r="E4" s="16">
        <v>3000</v>
      </c>
      <c r="F4" s="16">
        <v>3200</v>
      </c>
      <c r="G4" s="16">
        <v>4000</v>
      </c>
      <c r="H4" s="16">
        <f t="shared" ref="H4:K4" si="2">G4*1.1</f>
        <v>4400</v>
      </c>
      <c r="I4" s="16">
        <f t="shared" si="2"/>
        <v>4840</v>
      </c>
      <c r="J4" s="16">
        <f t="shared" si="2"/>
        <v>5324</v>
      </c>
      <c r="K4" s="16">
        <f t="shared" si="2"/>
        <v>5856.4000000000005</v>
      </c>
      <c r="L4" s="16">
        <f t="shared" ref="L4:Q5" si="3">K4</f>
        <v>5856.4000000000005</v>
      </c>
      <c r="M4" s="16">
        <f t="shared" si="3"/>
        <v>5856.4000000000005</v>
      </c>
      <c r="N4" s="16">
        <f t="shared" si="3"/>
        <v>5856.4000000000005</v>
      </c>
      <c r="O4" s="16">
        <f t="shared" si="3"/>
        <v>5856.4000000000005</v>
      </c>
      <c r="P4" s="16">
        <f t="shared" si="3"/>
        <v>5856.4000000000005</v>
      </c>
      <c r="Q4" s="16">
        <f t="shared" si="3"/>
        <v>5856.4000000000005</v>
      </c>
      <c r="R4" s="1"/>
      <c r="S4" s="1" t="s">
        <v>43</v>
      </c>
      <c r="T4" s="17">
        <v>-0.15</v>
      </c>
    </row>
    <row r="5" spans="1:20" ht="13.5" customHeight="1" x14ac:dyDescent="0.35">
      <c r="A5" s="1"/>
      <c r="B5" s="1" t="s">
        <v>5</v>
      </c>
      <c r="C5" s="1"/>
      <c r="D5" s="16">
        <v>255</v>
      </c>
      <c r="E5" s="16">
        <v>229</v>
      </c>
      <c r="F5" s="16">
        <v>180</v>
      </c>
      <c r="G5" s="16">
        <v>180</v>
      </c>
      <c r="H5" s="16">
        <v>255</v>
      </c>
      <c r="I5" s="16">
        <f t="shared" ref="I5:L5" si="4">H5*1.01</f>
        <v>257.55</v>
      </c>
      <c r="J5" s="16">
        <f t="shared" si="4"/>
        <v>260.12549999999999</v>
      </c>
      <c r="K5" s="16">
        <f t="shared" si="4"/>
        <v>262.72675499999997</v>
      </c>
      <c r="L5" s="16">
        <f t="shared" si="4"/>
        <v>265.35402254999997</v>
      </c>
      <c r="M5" s="16">
        <f t="shared" si="3"/>
        <v>265.35402254999997</v>
      </c>
      <c r="N5" s="16">
        <f t="shared" si="3"/>
        <v>265.35402254999997</v>
      </c>
      <c r="O5" s="16">
        <f t="shared" si="3"/>
        <v>265.35402254999997</v>
      </c>
      <c r="P5" s="16">
        <f t="shared" si="3"/>
        <v>265.35402254999997</v>
      </c>
      <c r="Q5" s="16">
        <f t="shared" si="3"/>
        <v>265.35402254999997</v>
      </c>
      <c r="R5" s="1"/>
      <c r="S5" s="1" t="s">
        <v>8</v>
      </c>
      <c r="T5" s="17">
        <v>-0.34</v>
      </c>
    </row>
    <row r="6" spans="1:20" ht="13.5" customHeight="1" x14ac:dyDescent="0.35">
      <c r="A6" s="1"/>
      <c r="B6" s="1" t="s">
        <v>7</v>
      </c>
      <c r="C6" s="1"/>
      <c r="D6" s="3">
        <f t="shared" ref="D6:Q6" si="5">D$4*D5</f>
        <v>1393575</v>
      </c>
      <c r="E6" s="3">
        <f t="shared" si="5"/>
        <v>687000</v>
      </c>
      <c r="F6" s="3">
        <f t="shared" si="5"/>
        <v>576000</v>
      </c>
      <c r="G6" s="3">
        <f t="shared" si="5"/>
        <v>720000</v>
      </c>
      <c r="H6" s="3">
        <f t="shared" si="5"/>
        <v>1122000</v>
      </c>
      <c r="I6" s="3">
        <f t="shared" si="5"/>
        <v>1246542</v>
      </c>
      <c r="J6" s="3">
        <f t="shared" si="5"/>
        <v>1384908.162</v>
      </c>
      <c r="K6" s="3">
        <f t="shared" si="5"/>
        <v>1538632.967982</v>
      </c>
      <c r="L6" s="3">
        <f t="shared" si="5"/>
        <v>1554019.29766182</v>
      </c>
      <c r="M6" s="3">
        <f t="shared" si="5"/>
        <v>1554019.29766182</v>
      </c>
      <c r="N6" s="3">
        <f t="shared" si="5"/>
        <v>1554019.29766182</v>
      </c>
      <c r="O6" s="3">
        <f t="shared" si="5"/>
        <v>1554019.29766182</v>
      </c>
      <c r="P6" s="3">
        <f t="shared" si="5"/>
        <v>1554019.29766182</v>
      </c>
      <c r="Q6" s="3">
        <f t="shared" si="5"/>
        <v>1554019.29766182</v>
      </c>
      <c r="R6" s="1"/>
      <c r="S6" s="1" t="s">
        <v>44</v>
      </c>
      <c r="T6" s="17">
        <v>0.1</v>
      </c>
    </row>
    <row r="7" spans="1:20" ht="13.5" customHeight="1" x14ac:dyDescent="0.35">
      <c r="A7" s="1"/>
      <c r="B7" s="1" t="s">
        <v>9</v>
      </c>
      <c r="C7" s="1"/>
      <c r="D7" s="16">
        <v>-150</v>
      </c>
      <c r="E7" s="16">
        <v>-148</v>
      </c>
      <c r="F7" s="16">
        <v>-180</v>
      </c>
      <c r="G7" s="16">
        <v>-180</v>
      </c>
      <c r="H7" s="16">
        <v>-180</v>
      </c>
      <c r="I7" s="16">
        <v>-160</v>
      </c>
      <c r="J7" s="16">
        <f t="shared" ref="J7:L7" si="6">I7*0.99</f>
        <v>-158.4</v>
      </c>
      <c r="K7" s="16">
        <f t="shared" si="6"/>
        <v>-156.816</v>
      </c>
      <c r="L7" s="16">
        <f t="shared" si="6"/>
        <v>-155.24784</v>
      </c>
      <c r="M7" s="16">
        <f t="shared" ref="M7:Q7" si="7">L7</f>
        <v>-155.24784</v>
      </c>
      <c r="N7" s="16">
        <f t="shared" si="7"/>
        <v>-155.24784</v>
      </c>
      <c r="O7" s="16">
        <f t="shared" si="7"/>
        <v>-155.24784</v>
      </c>
      <c r="P7" s="16">
        <f t="shared" si="7"/>
        <v>-155.24784</v>
      </c>
      <c r="Q7" s="16">
        <f t="shared" si="7"/>
        <v>-155.24784</v>
      </c>
      <c r="R7" s="1"/>
      <c r="S7" s="1" t="s">
        <v>45</v>
      </c>
      <c r="T7" s="17">
        <v>0.02</v>
      </c>
    </row>
    <row r="8" spans="1:20" x14ac:dyDescent="0.35">
      <c r="A8" s="1"/>
      <c r="B8" s="1" t="s">
        <v>11</v>
      </c>
      <c r="C8" s="1"/>
      <c r="D8" s="3">
        <f t="shared" ref="D8:Q8" si="8">D$4*D7</f>
        <v>-819750</v>
      </c>
      <c r="E8" s="3">
        <f t="shared" si="8"/>
        <v>-444000</v>
      </c>
      <c r="F8" s="3">
        <f t="shared" si="8"/>
        <v>-576000</v>
      </c>
      <c r="G8" s="3">
        <f t="shared" si="8"/>
        <v>-720000</v>
      </c>
      <c r="H8" s="3">
        <f t="shared" si="8"/>
        <v>-792000</v>
      </c>
      <c r="I8" s="3">
        <f t="shared" si="8"/>
        <v>-774400</v>
      </c>
      <c r="J8" s="3">
        <f t="shared" si="8"/>
        <v>-843321.6</v>
      </c>
      <c r="K8" s="3">
        <f t="shared" si="8"/>
        <v>-918377.22240000009</v>
      </c>
      <c r="L8" s="3">
        <f t="shared" si="8"/>
        <v>-909193.45017600001</v>
      </c>
      <c r="M8" s="3">
        <f t="shared" si="8"/>
        <v>-909193.45017600001</v>
      </c>
      <c r="N8" s="3">
        <f t="shared" si="8"/>
        <v>-909193.45017600001</v>
      </c>
      <c r="O8" s="3">
        <f t="shared" si="8"/>
        <v>-909193.45017600001</v>
      </c>
      <c r="P8" s="3">
        <f t="shared" si="8"/>
        <v>-909193.45017600001</v>
      </c>
      <c r="Q8" s="3">
        <f t="shared" si="8"/>
        <v>-909193.45017600001</v>
      </c>
      <c r="R8" s="1"/>
      <c r="S8" s="1"/>
      <c r="T8" s="2"/>
    </row>
    <row r="9" spans="1:20" x14ac:dyDescent="0.35">
      <c r="A9" s="1"/>
      <c r="B9" s="1" t="s">
        <v>12</v>
      </c>
      <c r="C9" s="1"/>
      <c r="D9" s="3">
        <f t="shared" ref="D9:Q9" si="9">D6+D8</f>
        <v>573825</v>
      </c>
      <c r="E9" s="3">
        <f t="shared" si="9"/>
        <v>243000</v>
      </c>
      <c r="F9" s="3">
        <f t="shared" si="9"/>
        <v>0</v>
      </c>
      <c r="G9" s="3">
        <f t="shared" si="9"/>
        <v>0</v>
      </c>
      <c r="H9" s="3">
        <f t="shared" si="9"/>
        <v>330000</v>
      </c>
      <c r="I9" s="3">
        <f t="shared" si="9"/>
        <v>472142</v>
      </c>
      <c r="J9" s="3">
        <f t="shared" si="9"/>
        <v>541586.56200000003</v>
      </c>
      <c r="K9" s="3">
        <f t="shared" si="9"/>
        <v>620255.74558199989</v>
      </c>
      <c r="L9" s="3">
        <f t="shared" si="9"/>
        <v>644825.84748581995</v>
      </c>
      <c r="M9" s="3">
        <f t="shared" si="9"/>
        <v>644825.84748581995</v>
      </c>
      <c r="N9" s="3">
        <f t="shared" si="9"/>
        <v>644825.84748581995</v>
      </c>
      <c r="O9" s="3">
        <f t="shared" si="9"/>
        <v>644825.84748581995</v>
      </c>
      <c r="P9" s="3">
        <f t="shared" si="9"/>
        <v>644825.84748581995</v>
      </c>
      <c r="Q9" s="3">
        <f t="shared" si="9"/>
        <v>644825.84748581995</v>
      </c>
      <c r="R9" s="1"/>
      <c r="S9" s="1"/>
      <c r="T9" s="2"/>
    </row>
    <row r="10" spans="1:20" ht="13.5" customHeight="1" x14ac:dyDescent="0.35">
      <c r="A10" s="1"/>
      <c r="B10" s="1" t="s">
        <v>13</v>
      </c>
      <c r="C10" s="1"/>
      <c r="D10" s="19">
        <v>-197000</v>
      </c>
      <c r="E10" s="19">
        <v>-198000</v>
      </c>
      <c r="F10" s="19">
        <v>-150000</v>
      </c>
      <c r="G10" s="19">
        <v>-198000</v>
      </c>
      <c r="H10" s="19">
        <v>-198000</v>
      </c>
      <c r="I10" s="19">
        <v>-198000</v>
      </c>
      <c r="J10" s="19">
        <v>-198000</v>
      </c>
      <c r="K10" s="19">
        <v>-198000</v>
      </c>
      <c r="L10" s="19">
        <v>-198000</v>
      </c>
      <c r="M10" s="19">
        <v>-198000</v>
      </c>
      <c r="N10" s="19">
        <v>-198000</v>
      </c>
      <c r="O10" s="19">
        <v>-198000</v>
      </c>
      <c r="P10" s="19">
        <v>-198000</v>
      </c>
      <c r="Q10" s="19">
        <v>-198000</v>
      </c>
      <c r="R10" s="1"/>
      <c r="S10" s="1"/>
      <c r="T10" s="2"/>
    </row>
    <row r="11" spans="1:20" ht="13.5" customHeight="1" x14ac:dyDescent="0.35">
      <c r="A11" s="1"/>
      <c r="B11" s="1" t="s">
        <v>14</v>
      </c>
      <c r="C11" s="1"/>
      <c r="D11" s="19">
        <v>-106000</v>
      </c>
      <c r="E11" s="19">
        <v>-107000</v>
      </c>
      <c r="F11" s="19">
        <v>-108000</v>
      </c>
      <c r="G11" s="19">
        <v>-108509.77747808496</v>
      </c>
      <c r="H11" s="19">
        <v>-109346.55700092165</v>
      </c>
      <c r="I11" s="19">
        <v>-110122.39775877766</v>
      </c>
      <c r="J11" s="19">
        <v>-110841.73763878577</v>
      </c>
      <c r="K11" s="19">
        <v>-111508.69133737723</v>
      </c>
      <c r="L11" s="19">
        <v>-112127.07389675904</v>
      </c>
      <c r="M11" s="19">
        <v>-112700.42252733896</v>
      </c>
      <c r="N11" s="19">
        <v>-113232.01684092452</v>
      </c>
      <c r="O11" s="19">
        <v>-113724.89761043238</v>
      </c>
      <c r="P11" s="19">
        <v>-114181.88416341506</v>
      </c>
      <c r="Q11" s="19">
        <v>-114605.59050889798</v>
      </c>
      <c r="R11" s="1"/>
      <c r="S11" s="1"/>
      <c r="T11" s="2"/>
    </row>
    <row r="12" spans="1:20" x14ac:dyDescent="0.35">
      <c r="A12" s="1"/>
      <c r="B12" s="1" t="s">
        <v>15</v>
      </c>
      <c r="C12" s="1"/>
      <c r="D12" s="3">
        <f t="shared" ref="D12:Q12" si="10">D9+D10+D11</f>
        <v>270825</v>
      </c>
      <c r="E12" s="3">
        <f t="shared" si="10"/>
        <v>-62000</v>
      </c>
      <c r="F12" s="3">
        <f t="shared" si="10"/>
        <v>-258000</v>
      </c>
      <c r="G12" s="3">
        <f t="shared" si="10"/>
        <v>-306509.77747808496</v>
      </c>
      <c r="H12" s="3">
        <f t="shared" si="10"/>
        <v>22653.442999078354</v>
      </c>
      <c r="I12" s="3">
        <f t="shared" si="10"/>
        <v>164019.60224122234</v>
      </c>
      <c r="J12" s="3">
        <f t="shared" si="10"/>
        <v>232744.82436121427</v>
      </c>
      <c r="K12" s="3">
        <f t="shared" si="10"/>
        <v>310747.05424462265</v>
      </c>
      <c r="L12" s="3">
        <f t="shared" si="10"/>
        <v>334698.77358906087</v>
      </c>
      <c r="M12" s="3">
        <f t="shared" si="10"/>
        <v>334125.42495848099</v>
      </c>
      <c r="N12" s="3">
        <f t="shared" si="10"/>
        <v>333593.83064489544</v>
      </c>
      <c r="O12" s="3">
        <f t="shared" si="10"/>
        <v>333100.9498753876</v>
      </c>
      <c r="P12" s="3">
        <f t="shared" si="10"/>
        <v>332643.96332240489</v>
      </c>
      <c r="Q12" s="3">
        <f t="shared" si="10"/>
        <v>332220.25697692198</v>
      </c>
      <c r="R12" s="1"/>
      <c r="S12" s="1"/>
      <c r="T12" s="2"/>
    </row>
    <row r="13" spans="1:20" ht="13.9" x14ac:dyDescent="0.4">
      <c r="A13" s="1"/>
      <c r="B13" s="4" t="str">
        <f>B12&amp;" [%]"</f>
        <v>EBIT [%]</v>
      </c>
      <c r="C13" s="4"/>
      <c r="D13" s="5">
        <f t="shared" ref="D13:Q13" si="11">IFERROR(D12/D$6,"-")</f>
        <v>0.19433830256713847</v>
      </c>
      <c r="E13" s="5">
        <f t="shared" si="11"/>
        <v>-9.0247452692867547E-2</v>
      </c>
      <c r="F13" s="5">
        <f t="shared" si="11"/>
        <v>-0.44791666666666669</v>
      </c>
      <c r="G13" s="5">
        <f t="shared" si="11"/>
        <v>-0.425708024275118</v>
      </c>
      <c r="H13" s="5">
        <f t="shared" si="11"/>
        <v>2.0190234402030618E-2</v>
      </c>
      <c r="I13" s="5">
        <f t="shared" si="11"/>
        <v>0.13157968383032609</v>
      </c>
      <c r="J13" s="5">
        <f t="shared" si="11"/>
        <v>0.1680579483516787</v>
      </c>
      <c r="K13" s="5">
        <f t="shared" si="11"/>
        <v>0.20196308067685834</v>
      </c>
      <c r="L13" s="5">
        <f t="shared" si="11"/>
        <v>0.21537620162931645</v>
      </c>
      <c r="M13" s="5">
        <f t="shared" si="11"/>
        <v>0.21500725599817624</v>
      </c>
      <c r="N13" s="5">
        <f t="shared" si="11"/>
        <v>0.21466517896323506</v>
      </c>
      <c r="O13" s="5">
        <f t="shared" si="11"/>
        <v>0.21434801380946289</v>
      </c>
      <c r="P13" s="5">
        <f t="shared" si="11"/>
        <v>0.21405394632029445</v>
      </c>
      <c r="Q13" s="5">
        <f t="shared" si="11"/>
        <v>0.21378129440012819</v>
      </c>
      <c r="R13" s="1"/>
      <c r="S13" s="1"/>
      <c r="T13" s="2"/>
    </row>
    <row r="14" spans="1:20" ht="13.9" x14ac:dyDescent="0.35">
      <c r="A14" s="1"/>
      <c r="B14" s="24" t="s">
        <v>46</v>
      </c>
      <c r="C14" s="24"/>
      <c r="D14" s="23">
        <f t="shared" ref="D14:Q14" si="12">D12-D11</f>
        <v>376825</v>
      </c>
      <c r="E14" s="23">
        <f t="shared" si="12"/>
        <v>45000</v>
      </c>
      <c r="F14" s="23">
        <f t="shared" si="12"/>
        <v>-150000</v>
      </c>
      <c r="G14" s="23">
        <f t="shared" si="12"/>
        <v>-198000</v>
      </c>
      <c r="H14" s="23">
        <f t="shared" si="12"/>
        <v>132000</v>
      </c>
      <c r="I14" s="23">
        <f t="shared" si="12"/>
        <v>274142</v>
      </c>
      <c r="J14" s="23">
        <f t="shared" si="12"/>
        <v>343586.56200000003</v>
      </c>
      <c r="K14" s="23">
        <f t="shared" si="12"/>
        <v>422255.74558199989</v>
      </c>
      <c r="L14" s="23">
        <f t="shared" si="12"/>
        <v>446825.84748581995</v>
      </c>
      <c r="M14" s="23">
        <f t="shared" si="12"/>
        <v>446825.84748581995</v>
      </c>
      <c r="N14" s="23">
        <f t="shared" si="12"/>
        <v>446825.84748581995</v>
      </c>
      <c r="O14" s="23">
        <f t="shared" si="12"/>
        <v>446825.84748581995</v>
      </c>
      <c r="P14" s="23">
        <f t="shared" si="12"/>
        <v>446825.84748581995</v>
      </c>
      <c r="Q14" s="23">
        <f t="shared" si="12"/>
        <v>446825.84748581995</v>
      </c>
      <c r="R14" s="1"/>
      <c r="S14" s="1"/>
      <c r="T14" s="1"/>
    </row>
    <row r="15" spans="1:20" ht="13.9" x14ac:dyDescent="0.4">
      <c r="A15" s="1"/>
      <c r="B15" s="4" t="str">
        <f>B14&amp;" [%]"</f>
        <v>EBITDA [%]</v>
      </c>
      <c r="C15" s="4"/>
      <c r="D15" s="5">
        <f t="shared" ref="D15:Q15" si="13">IFERROR(D14/D$6,"-")</f>
        <v>0.27040166478302208</v>
      </c>
      <c r="E15" s="5">
        <f t="shared" si="13"/>
        <v>6.5502183406113537E-2</v>
      </c>
      <c r="F15" s="5">
        <f t="shared" si="13"/>
        <v>-0.26041666666666669</v>
      </c>
      <c r="G15" s="5">
        <f t="shared" si="13"/>
        <v>-0.27500000000000002</v>
      </c>
      <c r="H15" s="5">
        <f t="shared" si="13"/>
        <v>0.11764705882352941</v>
      </c>
      <c r="I15" s="5">
        <f t="shared" si="13"/>
        <v>0.21992199219921993</v>
      </c>
      <c r="J15" s="5">
        <f t="shared" si="13"/>
        <v>0.2480933909031291</v>
      </c>
      <c r="K15" s="5">
        <f t="shared" si="13"/>
        <v>0.27443565448607998</v>
      </c>
      <c r="L15" s="5">
        <f t="shared" si="13"/>
        <v>0.28752914983624389</v>
      </c>
      <c r="M15" s="5">
        <f t="shared" si="13"/>
        <v>0.28752914983624389</v>
      </c>
      <c r="N15" s="5">
        <f t="shared" si="13"/>
        <v>0.28752914983624389</v>
      </c>
      <c r="O15" s="5">
        <f t="shared" si="13"/>
        <v>0.28752914983624389</v>
      </c>
      <c r="P15" s="5">
        <f t="shared" si="13"/>
        <v>0.28752914983624389</v>
      </c>
      <c r="Q15" s="5">
        <f t="shared" si="13"/>
        <v>0.28752914983624389</v>
      </c>
      <c r="R15" s="1"/>
      <c r="S15" s="1"/>
      <c r="T15" s="2"/>
    </row>
    <row r="16" spans="1:20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</row>
    <row r="17" spans="1:20" x14ac:dyDescent="0.3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</row>
    <row r="18" spans="1:20" ht="13.5" customHeight="1" x14ac:dyDescent="0.4">
      <c r="A18" s="1"/>
      <c r="B18" s="13" t="s">
        <v>42</v>
      </c>
      <c r="C18" s="13"/>
      <c r="D18" s="13"/>
      <c r="E18" s="13"/>
      <c r="F18" s="13"/>
      <c r="G18" s="15">
        <v>0</v>
      </c>
      <c r="H18" s="15">
        <f t="shared" ref="H18:P18" si="14">G18+1</f>
        <v>1</v>
      </c>
      <c r="I18" s="15">
        <f t="shared" si="14"/>
        <v>2</v>
      </c>
      <c r="J18" s="15">
        <f t="shared" si="14"/>
        <v>3</v>
      </c>
      <c r="K18" s="15">
        <f t="shared" si="14"/>
        <v>4</v>
      </c>
      <c r="L18" s="15">
        <f t="shared" si="14"/>
        <v>5</v>
      </c>
      <c r="M18" s="15">
        <f t="shared" si="14"/>
        <v>6</v>
      </c>
      <c r="N18" s="15">
        <f t="shared" si="14"/>
        <v>7</v>
      </c>
      <c r="O18" s="15">
        <f t="shared" si="14"/>
        <v>8</v>
      </c>
      <c r="P18" s="15">
        <f t="shared" si="14"/>
        <v>9</v>
      </c>
      <c r="Q18" s="15" t="s">
        <v>47</v>
      </c>
      <c r="R18" s="1"/>
      <c r="S18" s="1"/>
      <c r="T18" s="1"/>
    </row>
    <row r="19" spans="1:20" x14ac:dyDescent="0.35">
      <c r="A19" s="1"/>
      <c r="B19" s="1" t="s">
        <v>46</v>
      </c>
      <c r="C19" s="1"/>
      <c r="D19" s="3"/>
      <c r="E19" s="3"/>
      <c r="F19" s="3"/>
      <c r="G19" s="3">
        <f t="shared" ref="G19:Q19" si="15">G14</f>
        <v>-198000</v>
      </c>
      <c r="H19" s="3">
        <f t="shared" si="15"/>
        <v>132000</v>
      </c>
      <c r="I19" s="3">
        <f t="shared" si="15"/>
        <v>274142</v>
      </c>
      <c r="J19" s="3">
        <f t="shared" si="15"/>
        <v>343586.56200000003</v>
      </c>
      <c r="K19" s="3">
        <f t="shared" si="15"/>
        <v>422255.74558199989</v>
      </c>
      <c r="L19" s="3">
        <f t="shared" si="15"/>
        <v>446825.84748581995</v>
      </c>
      <c r="M19" s="3">
        <f t="shared" si="15"/>
        <v>446825.84748581995</v>
      </c>
      <c r="N19" s="3">
        <f t="shared" si="15"/>
        <v>446825.84748581995</v>
      </c>
      <c r="O19" s="3">
        <f t="shared" si="15"/>
        <v>446825.84748581995</v>
      </c>
      <c r="P19" s="3">
        <f t="shared" si="15"/>
        <v>446825.84748581995</v>
      </c>
      <c r="Q19" s="3">
        <f t="shared" si="15"/>
        <v>446825.84748581995</v>
      </c>
      <c r="R19" s="1"/>
      <c r="S19" s="1"/>
      <c r="T19" s="1"/>
    </row>
    <row r="20" spans="1:20" x14ac:dyDescent="0.35">
      <c r="A20" s="1"/>
      <c r="B20" s="1" t="s">
        <v>36</v>
      </c>
      <c r="C20" s="1"/>
      <c r="D20" s="1"/>
      <c r="E20" s="1"/>
      <c r="F20" s="1"/>
      <c r="G20" s="3">
        <f t="shared" ref="G20:Q20" si="16">(G6-F6)*$T$4</f>
        <v>-21600</v>
      </c>
      <c r="H20" s="3">
        <f t="shared" si="16"/>
        <v>-60300</v>
      </c>
      <c r="I20" s="3">
        <f t="shared" si="16"/>
        <v>-18681.3</v>
      </c>
      <c r="J20" s="3">
        <f t="shared" si="16"/>
        <v>-20754.924300000002</v>
      </c>
      <c r="K20" s="3">
        <f t="shared" si="16"/>
        <v>-23058.720897299994</v>
      </c>
      <c r="L20" s="3">
        <f t="shared" si="16"/>
        <v>-2307.9494519729983</v>
      </c>
      <c r="M20" s="3">
        <f t="shared" si="16"/>
        <v>0</v>
      </c>
      <c r="N20" s="3">
        <f t="shared" si="16"/>
        <v>0</v>
      </c>
      <c r="O20" s="3">
        <f t="shared" si="16"/>
        <v>0</v>
      </c>
      <c r="P20" s="3">
        <f t="shared" si="16"/>
        <v>0</v>
      </c>
      <c r="Q20" s="3">
        <f t="shared" si="16"/>
        <v>0</v>
      </c>
      <c r="R20" s="1"/>
      <c r="S20" s="1"/>
      <c r="T20" s="1"/>
    </row>
    <row r="21" spans="1:20" x14ac:dyDescent="0.35">
      <c r="A21" s="1"/>
      <c r="B21" s="1" t="s">
        <v>48</v>
      </c>
      <c r="C21" s="1"/>
      <c r="D21" s="1"/>
      <c r="E21" s="1"/>
      <c r="F21" s="1"/>
      <c r="G21" s="3">
        <f>-T5*G12</f>
        <v>-104213.32434254889</v>
      </c>
      <c r="H21" s="3">
        <f t="shared" ref="H21:Q21" si="17">-U21*H12</f>
        <v>0</v>
      </c>
      <c r="I21" s="3">
        <f t="shared" si="17"/>
        <v>0</v>
      </c>
      <c r="J21" s="3">
        <f t="shared" si="17"/>
        <v>0</v>
      </c>
      <c r="K21" s="3">
        <f t="shared" si="17"/>
        <v>0</v>
      </c>
      <c r="L21" s="3">
        <f t="shared" si="17"/>
        <v>0</v>
      </c>
      <c r="M21" s="3">
        <f t="shared" si="17"/>
        <v>0</v>
      </c>
      <c r="N21" s="3">
        <f t="shared" si="17"/>
        <v>0</v>
      </c>
      <c r="O21" s="3">
        <f t="shared" si="17"/>
        <v>0</v>
      </c>
      <c r="P21" s="3">
        <f t="shared" si="17"/>
        <v>0</v>
      </c>
      <c r="Q21" s="3">
        <f t="shared" si="17"/>
        <v>0</v>
      </c>
      <c r="R21" s="1"/>
      <c r="S21" s="1"/>
      <c r="T21" s="1"/>
    </row>
    <row r="22" spans="1:20" ht="13.5" customHeight="1" x14ac:dyDescent="0.35">
      <c r="A22" s="1"/>
      <c r="B22" s="1" t="s">
        <v>49</v>
      </c>
      <c r="C22" s="1"/>
      <c r="D22" s="1"/>
      <c r="E22" s="1"/>
      <c r="F22" s="1"/>
      <c r="G22" s="19">
        <v>-120000</v>
      </c>
      <c r="H22" s="19">
        <f t="shared" ref="H22:Q22" si="18">G22</f>
        <v>-120000</v>
      </c>
      <c r="I22" s="19">
        <f t="shared" si="18"/>
        <v>-120000</v>
      </c>
      <c r="J22" s="19">
        <f t="shared" si="18"/>
        <v>-120000</v>
      </c>
      <c r="K22" s="19">
        <f t="shared" si="18"/>
        <v>-120000</v>
      </c>
      <c r="L22" s="19">
        <f t="shared" si="18"/>
        <v>-120000</v>
      </c>
      <c r="M22" s="19">
        <f t="shared" si="18"/>
        <v>-120000</v>
      </c>
      <c r="N22" s="19">
        <f t="shared" si="18"/>
        <v>-120000</v>
      </c>
      <c r="O22" s="19">
        <f t="shared" si="18"/>
        <v>-120000</v>
      </c>
      <c r="P22" s="19">
        <f t="shared" si="18"/>
        <v>-120000</v>
      </c>
      <c r="Q22" s="19">
        <f t="shared" si="18"/>
        <v>-120000</v>
      </c>
      <c r="R22" s="1"/>
      <c r="S22" s="1"/>
      <c r="T22" s="1"/>
    </row>
    <row r="23" spans="1:20" x14ac:dyDescent="0.35">
      <c r="A23" s="1"/>
      <c r="B23" s="3" t="s">
        <v>50</v>
      </c>
      <c r="C23" s="3"/>
      <c r="D23" s="3"/>
      <c r="E23" s="3"/>
      <c r="F23" s="3"/>
      <c r="G23" s="3">
        <f t="shared" ref="G23:Q23" si="19">G19+G20+G21+G22</f>
        <v>-443813.32434254891</v>
      </c>
      <c r="H23" s="3">
        <f t="shared" si="19"/>
        <v>-48300</v>
      </c>
      <c r="I23" s="3">
        <f t="shared" si="19"/>
        <v>135460.70000000001</v>
      </c>
      <c r="J23" s="3">
        <f t="shared" si="19"/>
        <v>202831.63770000002</v>
      </c>
      <c r="K23" s="3">
        <f t="shared" si="19"/>
        <v>279197.02468469989</v>
      </c>
      <c r="L23" s="3">
        <f t="shared" si="19"/>
        <v>324517.89803384693</v>
      </c>
      <c r="M23" s="3">
        <f t="shared" si="19"/>
        <v>326825.84748581995</v>
      </c>
      <c r="N23" s="3">
        <f t="shared" si="19"/>
        <v>326825.84748581995</v>
      </c>
      <c r="O23" s="3">
        <f t="shared" si="19"/>
        <v>326825.84748581995</v>
      </c>
      <c r="P23" s="3">
        <f t="shared" si="19"/>
        <v>326825.84748581995</v>
      </c>
      <c r="Q23" s="3">
        <f t="shared" si="19"/>
        <v>326825.84748581995</v>
      </c>
      <c r="R23" s="1"/>
      <c r="S23" s="1"/>
      <c r="T23" s="1"/>
    </row>
    <row r="24" spans="1:20" x14ac:dyDescent="0.35">
      <c r="A24" s="1"/>
      <c r="B24" s="3" t="s">
        <v>51</v>
      </c>
      <c r="C24" s="3"/>
      <c r="D24" s="3"/>
      <c r="E24" s="3"/>
      <c r="F24" s="3"/>
      <c r="G24" s="3">
        <f t="shared" ref="G24:P24" si="20">G23/(1+$T$6)^G$18</f>
        <v>-443813.32434254891</v>
      </c>
      <c r="H24" s="3">
        <f t="shared" si="20"/>
        <v>-43909.090909090904</v>
      </c>
      <c r="I24" s="3">
        <f t="shared" si="20"/>
        <v>111950.99173553719</v>
      </c>
      <c r="J24" s="3">
        <f t="shared" si="20"/>
        <v>152390.41149511642</v>
      </c>
      <c r="K24" s="3">
        <f t="shared" si="20"/>
        <v>190695.32455754376</v>
      </c>
      <c r="L24" s="3">
        <f t="shared" si="20"/>
        <v>201500.08260355217</v>
      </c>
      <c r="M24" s="3">
        <f t="shared" si="20"/>
        <v>184484.67057347717</v>
      </c>
      <c r="N24" s="3">
        <f t="shared" si="20"/>
        <v>167713.33688497922</v>
      </c>
      <c r="O24" s="3">
        <f t="shared" si="20"/>
        <v>152466.66989543568</v>
      </c>
      <c r="P24" s="3">
        <f t="shared" si="20"/>
        <v>138606.06354130514</v>
      </c>
      <c r="Q24" s="3">
        <f>(Q23/(T6-T7))/(1+T6)^(P18)</f>
        <v>1732575.7942663142</v>
      </c>
      <c r="R24" s="1"/>
      <c r="S24" s="1"/>
      <c r="T24" s="1"/>
    </row>
    <row r="25" spans="1:20" ht="13.9" x14ac:dyDescent="0.35">
      <c r="A25" s="1"/>
      <c r="B25" s="24" t="s">
        <v>52</v>
      </c>
      <c r="C25" s="24"/>
      <c r="D25" s="23">
        <f>SUM(G24:Q24)</f>
        <v>2544660.9303016211</v>
      </c>
      <c r="E25" s="24"/>
      <c r="F25" s="24"/>
      <c r="G25" s="25">
        <f t="shared" ref="G25:Q25" si="21">G24/$D$25</f>
        <v>-0.17440961153513812</v>
      </c>
      <c r="H25" s="25">
        <f t="shared" si="21"/>
        <v>-1.7255379837142513E-2</v>
      </c>
      <c r="I25" s="25">
        <f t="shared" si="21"/>
        <v>4.3994463231793922E-2</v>
      </c>
      <c r="J25" s="25">
        <f t="shared" si="21"/>
        <v>5.9886332862843714E-2</v>
      </c>
      <c r="K25" s="25">
        <f t="shared" si="21"/>
        <v>7.4939384767046535E-2</v>
      </c>
      <c r="L25" s="25">
        <f t="shared" si="21"/>
        <v>7.918543496467649E-2</v>
      </c>
      <c r="M25" s="25">
        <f t="shared" si="21"/>
        <v>7.2498724044782664E-2</v>
      </c>
      <c r="N25" s="25">
        <f t="shared" si="21"/>
        <v>6.5907930949802421E-2</v>
      </c>
      <c r="O25" s="25">
        <f t="shared" si="21"/>
        <v>5.9916300863456749E-2</v>
      </c>
      <c r="P25" s="25">
        <f t="shared" si="21"/>
        <v>5.4469364421324308E-2</v>
      </c>
      <c r="Q25" s="25">
        <f t="shared" si="21"/>
        <v>0.68086705526655389</v>
      </c>
      <c r="R25" s="1"/>
      <c r="S25" s="1"/>
      <c r="T25" s="1"/>
    </row>
  </sheetData>
  <mergeCells count="1">
    <mergeCell ref="S2:T2"/>
  </mergeCells>
  <pageMargins left="0.25" right="0.25" top="0.75" bottom="0.75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25"/>
  <sheetViews>
    <sheetView showGridLines="0" zoomScale="85" zoomScaleNormal="85" workbookViewId="0">
      <selection activeCell="B2" sqref="B2"/>
    </sheetView>
  </sheetViews>
  <sheetFormatPr defaultColWidth="9" defaultRowHeight="13.5" x14ac:dyDescent="0.35"/>
  <cols>
    <col min="1" max="1" width="2.125" customWidth="1"/>
    <col min="2" max="2" width="20.6875" bestFit="1" customWidth="1"/>
    <col min="16" max="16" width="18.1875" bestFit="1" customWidth="1"/>
  </cols>
  <sheetData>
    <row r="1" spans="1:17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13.9" x14ac:dyDescent="0.4">
      <c r="A2" s="1"/>
      <c r="B2" s="13" t="s">
        <v>42</v>
      </c>
      <c r="C2" s="13"/>
      <c r="D2" s="15">
        <v>2010</v>
      </c>
      <c r="E2" s="15">
        <f t="shared" ref="E2:N2" si="0">D2+1</f>
        <v>2011</v>
      </c>
      <c r="F2" s="15">
        <f t="shared" si="0"/>
        <v>2012</v>
      </c>
      <c r="G2" s="15">
        <f t="shared" si="0"/>
        <v>2013</v>
      </c>
      <c r="H2" s="15">
        <f t="shared" si="0"/>
        <v>2014</v>
      </c>
      <c r="I2" s="15">
        <f t="shared" si="0"/>
        <v>2015</v>
      </c>
      <c r="J2" s="15">
        <f t="shared" si="0"/>
        <v>2016</v>
      </c>
      <c r="K2" s="15">
        <f t="shared" si="0"/>
        <v>2017</v>
      </c>
      <c r="L2" s="15">
        <f t="shared" si="0"/>
        <v>2018</v>
      </c>
      <c r="M2" s="15">
        <f t="shared" si="0"/>
        <v>2019</v>
      </c>
      <c r="N2" s="15">
        <f t="shared" si="0"/>
        <v>2020</v>
      </c>
      <c r="O2" s="1"/>
      <c r="P2" s="138" t="s">
        <v>1</v>
      </c>
      <c r="Q2" s="139"/>
    </row>
    <row r="3" spans="1:17" x14ac:dyDescent="0.35">
      <c r="A3" s="1"/>
      <c r="B3" s="1" t="s">
        <v>2</v>
      </c>
      <c r="C3" s="1"/>
      <c r="D3" s="16">
        <v>3000</v>
      </c>
      <c r="E3" s="16">
        <v>3000</v>
      </c>
      <c r="F3" s="16">
        <v>4651</v>
      </c>
      <c r="G3" s="16">
        <v>5324</v>
      </c>
      <c r="H3" s="16">
        <v>5856.4000000000015</v>
      </c>
      <c r="I3" s="16">
        <v>5856.4000000000015</v>
      </c>
      <c r="J3" s="16">
        <v>5856.4000000000015</v>
      </c>
      <c r="K3" s="16">
        <v>5856.4000000000015</v>
      </c>
      <c r="L3" s="16">
        <v>5856.4000000000015</v>
      </c>
      <c r="M3" s="16">
        <v>5856.4000000000015</v>
      </c>
      <c r="N3" s="16">
        <v>5856.3999999999942</v>
      </c>
      <c r="O3" s="1"/>
      <c r="P3" s="1"/>
      <c r="Q3" s="2"/>
    </row>
    <row r="4" spans="1:17" x14ac:dyDescent="0.35">
      <c r="A4" s="1"/>
      <c r="B4" s="1" t="s">
        <v>3</v>
      </c>
      <c r="C4" s="1"/>
      <c r="D4" s="16">
        <v>4000</v>
      </c>
      <c r="E4" s="16">
        <v>4400</v>
      </c>
      <c r="F4" s="16">
        <v>4840</v>
      </c>
      <c r="G4" s="16">
        <v>5324</v>
      </c>
      <c r="H4" s="16">
        <v>5856.4000000000005</v>
      </c>
      <c r="I4" s="16">
        <v>5856.4000000000005</v>
      </c>
      <c r="J4" s="16">
        <v>5856.4000000000005</v>
      </c>
      <c r="K4" s="16">
        <v>5856.4000000000005</v>
      </c>
      <c r="L4" s="16">
        <v>5856.4000000000005</v>
      </c>
      <c r="M4" s="16">
        <v>5856.4000000000005</v>
      </c>
      <c r="N4" s="16">
        <v>5856.4000000000005</v>
      </c>
      <c r="O4" s="1"/>
      <c r="P4" s="1" t="s">
        <v>43</v>
      </c>
      <c r="Q4" s="17">
        <v>-0.15</v>
      </c>
    </row>
    <row r="5" spans="1:17" x14ac:dyDescent="0.35">
      <c r="A5" s="1"/>
      <c r="B5" s="1" t="s">
        <v>5</v>
      </c>
      <c r="C5" s="1"/>
      <c r="D5" s="16">
        <v>180</v>
      </c>
      <c r="E5" s="16">
        <v>255</v>
      </c>
      <c r="F5" s="16">
        <f t="shared" ref="F5:I5" si="1">E5*1.01</f>
        <v>257.55</v>
      </c>
      <c r="G5" s="16">
        <f t="shared" si="1"/>
        <v>260.12549999999999</v>
      </c>
      <c r="H5" s="16">
        <f t="shared" si="1"/>
        <v>262.72675499999997</v>
      </c>
      <c r="I5" s="16">
        <f t="shared" si="1"/>
        <v>265.35402254999997</v>
      </c>
      <c r="J5" s="16">
        <f t="shared" ref="J5:N5" si="2">I5</f>
        <v>265.35402254999997</v>
      </c>
      <c r="K5" s="16">
        <f t="shared" si="2"/>
        <v>265.35402254999997</v>
      </c>
      <c r="L5" s="16">
        <f t="shared" si="2"/>
        <v>265.35402254999997</v>
      </c>
      <c r="M5" s="16">
        <f t="shared" si="2"/>
        <v>265.35402254999997</v>
      </c>
      <c r="N5" s="16">
        <f t="shared" si="2"/>
        <v>265.35402254999997</v>
      </c>
      <c r="O5" s="1"/>
      <c r="P5" s="1" t="s">
        <v>8</v>
      </c>
      <c r="Q5" s="17">
        <v>-0.34</v>
      </c>
    </row>
    <row r="6" spans="1:17" x14ac:dyDescent="0.35">
      <c r="A6" s="1"/>
      <c r="B6" s="1" t="s">
        <v>7</v>
      </c>
      <c r="C6" s="1"/>
      <c r="D6" s="3">
        <f t="shared" ref="D6:N6" si="3">D$4*D5</f>
        <v>720000</v>
      </c>
      <c r="E6" s="3">
        <f t="shared" si="3"/>
        <v>1122000</v>
      </c>
      <c r="F6" s="3">
        <f t="shared" si="3"/>
        <v>1246542</v>
      </c>
      <c r="G6" s="3">
        <f t="shared" si="3"/>
        <v>1384908.162</v>
      </c>
      <c r="H6" s="3">
        <f t="shared" si="3"/>
        <v>1538632.967982</v>
      </c>
      <c r="I6" s="3">
        <f t="shared" si="3"/>
        <v>1554019.29766182</v>
      </c>
      <c r="J6" s="3">
        <f t="shared" si="3"/>
        <v>1554019.29766182</v>
      </c>
      <c r="K6" s="3">
        <f t="shared" si="3"/>
        <v>1554019.29766182</v>
      </c>
      <c r="L6" s="3">
        <f t="shared" si="3"/>
        <v>1554019.29766182</v>
      </c>
      <c r="M6" s="3">
        <f t="shared" si="3"/>
        <v>1554019.29766182</v>
      </c>
      <c r="N6" s="3">
        <f t="shared" si="3"/>
        <v>1554019.29766182</v>
      </c>
      <c r="O6" s="1"/>
      <c r="P6" s="1" t="s">
        <v>44</v>
      </c>
      <c r="Q6" s="17">
        <v>0.1</v>
      </c>
    </row>
    <row r="7" spans="1:17" x14ac:dyDescent="0.35">
      <c r="A7" s="1"/>
      <c r="B7" s="1" t="s">
        <v>9</v>
      </c>
      <c r="C7" s="1"/>
      <c r="D7" s="16">
        <v>-180</v>
      </c>
      <c r="E7" s="16">
        <v>-180</v>
      </c>
      <c r="F7" s="16">
        <v>-160</v>
      </c>
      <c r="G7" s="16">
        <f t="shared" ref="G7:I7" si="4">F7*0.99</f>
        <v>-158.4</v>
      </c>
      <c r="H7" s="16">
        <f t="shared" si="4"/>
        <v>-156.816</v>
      </c>
      <c r="I7" s="16">
        <f t="shared" si="4"/>
        <v>-155.24784</v>
      </c>
      <c r="J7" s="16">
        <f t="shared" ref="J7:N7" si="5">I7</f>
        <v>-155.24784</v>
      </c>
      <c r="K7" s="16">
        <f t="shared" si="5"/>
        <v>-155.24784</v>
      </c>
      <c r="L7" s="16">
        <f t="shared" si="5"/>
        <v>-155.24784</v>
      </c>
      <c r="M7" s="16">
        <f t="shared" si="5"/>
        <v>-155.24784</v>
      </c>
      <c r="N7" s="16">
        <f t="shared" si="5"/>
        <v>-155.24784</v>
      </c>
      <c r="O7" s="1"/>
      <c r="P7" s="1" t="s">
        <v>45</v>
      </c>
      <c r="Q7" s="17">
        <v>0.02</v>
      </c>
    </row>
    <row r="8" spans="1:17" x14ac:dyDescent="0.35">
      <c r="A8" s="1"/>
      <c r="B8" s="1" t="s">
        <v>11</v>
      </c>
      <c r="C8" s="1"/>
      <c r="D8" s="3">
        <f t="shared" ref="D8:N8" si="6">D$4*D7</f>
        <v>-720000</v>
      </c>
      <c r="E8" s="3">
        <f t="shared" si="6"/>
        <v>-792000</v>
      </c>
      <c r="F8" s="3">
        <f t="shared" si="6"/>
        <v>-774400</v>
      </c>
      <c r="G8" s="3">
        <f t="shared" si="6"/>
        <v>-843321.6</v>
      </c>
      <c r="H8" s="3">
        <f t="shared" si="6"/>
        <v>-918377.22240000009</v>
      </c>
      <c r="I8" s="3">
        <f t="shared" si="6"/>
        <v>-909193.45017600001</v>
      </c>
      <c r="J8" s="3">
        <f t="shared" si="6"/>
        <v>-909193.45017600001</v>
      </c>
      <c r="K8" s="3">
        <f t="shared" si="6"/>
        <v>-909193.45017600001</v>
      </c>
      <c r="L8" s="3">
        <f t="shared" si="6"/>
        <v>-909193.45017600001</v>
      </c>
      <c r="M8" s="3">
        <f t="shared" si="6"/>
        <v>-909193.45017600001</v>
      </c>
      <c r="N8" s="3">
        <f t="shared" si="6"/>
        <v>-909193.45017600001</v>
      </c>
      <c r="O8" s="1"/>
      <c r="P8" s="1"/>
      <c r="Q8" s="2"/>
    </row>
    <row r="9" spans="1:17" x14ac:dyDescent="0.35">
      <c r="A9" s="1"/>
      <c r="B9" s="1" t="s">
        <v>12</v>
      </c>
      <c r="C9" s="1"/>
      <c r="D9" s="3">
        <f t="shared" ref="D9:N9" si="7">D6+D8</f>
        <v>0</v>
      </c>
      <c r="E9" s="3">
        <f t="shared" si="7"/>
        <v>330000</v>
      </c>
      <c r="F9" s="3">
        <f t="shared" si="7"/>
        <v>472142</v>
      </c>
      <c r="G9" s="3">
        <f t="shared" si="7"/>
        <v>541586.56200000003</v>
      </c>
      <c r="H9" s="3">
        <f t="shared" si="7"/>
        <v>620255.74558199989</v>
      </c>
      <c r="I9" s="3">
        <f t="shared" si="7"/>
        <v>644825.84748581995</v>
      </c>
      <c r="J9" s="3">
        <f t="shared" si="7"/>
        <v>644825.84748581995</v>
      </c>
      <c r="K9" s="3">
        <f t="shared" si="7"/>
        <v>644825.84748581995</v>
      </c>
      <c r="L9" s="3">
        <f t="shared" si="7"/>
        <v>644825.84748581995</v>
      </c>
      <c r="M9" s="3">
        <f t="shared" si="7"/>
        <v>644825.84748581995</v>
      </c>
      <c r="N9" s="3">
        <f t="shared" si="7"/>
        <v>644825.84748581995</v>
      </c>
      <c r="O9" s="1"/>
      <c r="P9" s="1"/>
      <c r="Q9" s="2"/>
    </row>
    <row r="10" spans="1:17" x14ac:dyDescent="0.35">
      <c r="A10" s="1"/>
      <c r="B10" s="1" t="s">
        <v>13</v>
      </c>
      <c r="C10" s="1"/>
      <c r="D10" s="19">
        <v>-198000</v>
      </c>
      <c r="E10" s="19">
        <v>-198000</v>
      </c>
      <c r="F10" s="19">
        <v>-198000</v>
      </c>
      <c r="G10" s="19">
        <v>-198000</v>
      </c>
      <c r="H10" s="19">
        <v>-198000</v>
      </c>
      <c r="I10" s="19">
        <v>-198000</v>
      </c>
      <c r="J10" s="19">
        <v>-198000</v>
      </c>
      <c r="K10" s="19">
        <v>-198000</v>
      </c>
      <c r="L10" s="19">
        <v>-198000</v>
      </c>
      <c r="M10" s="19">
        <v>-198000</v>
      </c>
      <c r="N10" s="19">
        <v>-198000</v>
      </c>
      <c r="O10" s="1"/>
      <c r="P10" s="1"/>
      <c r="Q10" s="2"/>
    </row>
    <row r="11" spans="1:17" x14ac:dyDescent="0.35">
      <c r="A11" s="1"/>
      <c r="B11" s="1" t="s">
        <v>14</v>
      </c>
      <c r="C11" s="1"/>
      <c r="D11" s="19">
        <v>-108509.77747808496</v>
      </c>
      <c r="E11" s="19">
        <v>-109346.55700092165</v>
      </c>
      <c r="F11" s="19">
        <v>-110122.39775877766</v>
      </c>
      <c r="G11" s="19">
        <v>-110841.73763878577</v>
      </c>
      <c r="H11" s="19">
        <v>-111508.69133737723</v>
      </c>
      <c r="I11" s="19">
        <v>-112127.07389675904</v>
      </c>
      <c r="J11" s="19">
        <v>-112700.42252733896</v>
      </c>
      <c r="K11" s="19">
        <v>-113232.01684092452</v>
      </c>
      <c r="L11" s="19">
        <v>-113724.89761043238</v>
      </c>
      <c r="M11" s="19">
        <v>-114181.88416341506</v>
      </c>
      <c r="N11" s="19">
        <v>-114605.59050889798</v>
      </c>
      <c r="O11" s="1"/>
      <c r="P11" s="1"/>
      <c r="Q11" s="2"/>
    </row>
    <row r="12" spans="1:17" x14ac:dyDescent="0.35">
      <c r="A12" s="1"/>
      <c r="B12" s="1" t="s">
        <v>15</v>
      </c>
      <c r="C12" s="1"/>
      <c r="D12" s="3">
        <f t="shared" ref="D12:N12" si="8">D9+D10+D11</f>
        <v>-306509.77747808496</v>
      </c>
      <c r="E12" s="3">
        <f t="shared" si="8"/>
        <v>22653.442999078354</v>
      </c>
      <c r="F12" s="3">
        <f t="shared" si="8"/>
        <v>164019.60224122234</v>
      </c>
      <c r="G12" s="3">
        <f t="shared" si="8"/>
        <v>232744.82436121427</v>
      </c>
      <c r="H12" s="3">
        <f t="shared" si="8"/>
        <v>310747.05424462265</v>
      </c>
      <c r="I12" s="3">
        <f t="shared" si="8"/>
        <v>334698.77358906087</v>
      </c>
      <c r="J12" s="3">
        <f t="shared" si="8"/>
        <v>334125.42495848099</v>
      </c>
      <c r="K12" s="3">
        <f t="shared" si="8"/>
        <v>333593.83064489544</v>
      </c>
      <c r="L12" s="3">
        <f t="shared" si="8"/>
        <v>333100.9498753876</v>
      </c>
      <c r="M12" s="3">
        <f t="shared" si="8"/>
        <v>332643.96332240489</v>
      </c>
      <c r="N12" s="3">
        <f t="shared" si="8"/>
        <v>332220.25697692198</v>
      </c>
      <c r="O12" s="1"/>
      <c r="P12" s="1"/>
      <c r="Q12" s="2"/>
    </row>
    <row r="13" spans="1:17" ht="13.9" x14ac:dyDescent="0.4">
      <c r="A13" s="1"/>
      <c r="B13" s="4" t="str">
        <f>B12&amp;" [%]"</f>
        <v>EBIT [%]</v>
      </c>
      <c r="C13" s="4"/>
      <c r="D13" s="5">
        <f t="shared" ref="D13:N13" si="9">IFERROR(D12/D$6,"-")</f>
        <v>-0.425708024275118</v>
      </c>
      <c r="E13" s="5">
        <f t="shared" si="9"/>
        <v>2.0190234402030618E-2</v>
      </c>
      <c r="F13" s="5">
        <f t="shared" si="9"/>
        <v>0.13157968383032609</v>
      </c>
      <c r="G13" s="5">
        <f t="shared" si="9"/>
        <v>0.1680579483516787</v>
      </c>
      <c r="H13" s="5">
        <f t="shared" si="9"/>
        <v>0.20196308067685834</v>
      </c>
      <c r="I13" s="5">
        <f t="shared" si="9"/>
        <v>0.21537620162931645</v>
      </c>
      <c r="J13" s="5">
        <f t="shared" si="9"/>
        <v>0.21500725599817624</v>
      </c>
      <c r="K13" s="5">
        <f t="shared" si="9"/>
        <v>0.21466517896323506</v>
      </c>
      <c r="L13" s="5">
        <f t="shared" si="9"/>
        <v>0.21434801380946289</v>
      </c>
      <c r="M13" s="5">
        <f t="shared" si="9"/>
        <v>0.21405394632029445</v>
      </c>
      <c r="N13" s="5">
        <f t="shared" si="9"/>
        <v>0.21378129440012819</v>
      </c>
      <c r="O13" s="1"/>
      <c r="P13" s="1"/>
      <c r="Q13" s="2"/>
    </row>
    <row r="14" spans="1:17" ht="13.9" x14ac:dyDescent="0.35">
      <c r="A14" s="1"/>
      <c r="B14" s="24" t="s">
        <v>46</v>
      </c>
      <c r="C14" s="24"/>
      <c r="D14" s="23">
        <f t="shared" ref="D14:N14" si="10">D12-D11</f>
        <v>-198000</v>
      </c>
      <c r="E14" s="23">
        <f t="shared" si="10"/>
        <v>132000</v>
      </c>
      <c r="F14" s="23">
        <f t="shared" si="10"/>
        <v>274142</v>
      </c>
      <c r="G14" s="23">
        <f t="shared" si="10"/>
        <v>343586.56200000003</v>
      </c>
      <c r="H14" s="23">
        <f t="shared" si="10"/>
        <v>422255.74558199989</v>
      </c>
      <c r="I14" s="23">
        <f t="shared" si="10"/>
        <v>446825.84748581995</v>
      </c>
      <c r="J14" s="23">
        <f t="shared" si="10"/>
        <v>446825.84748581995</v>
      </c>
      <c r="K14" s="23">
        <f t="shared" si="10"/>
        <v>446825.84748581995</v>
      </c>
      <c r="L14" s="23">
        <f t="shared" si="10"/>
        <v>446825.84748581995</v>
      </c>
      <c r="M14" s="23">
        <f t="shared" si="10"/>
        <v>446825.84748581995</v>
      </c>
      <c r="N14" s="23">
        <f t="shared" si="10"/>
        <v>446825.84748581995</v>
      </c>
      <c r="O14" s="1"/>
      <c r="P14" s="1"/>
      <c r="Q14" s="1"/>
    </row>
    <row r="15" spans="1:17" ht="13.9" x14ac:dyDescent="0.4">
      <c r="A15" s="1"/>
      <c r="B15" s="4" t="str">
        <f>B14&amp;" [%]"</f>
        <v>EBITDA [%]</v>
      </c>
      <c r="C15" s="4"/>
      <c r="D15" s="5">
        <f t="shared" ref="D15:N15" si="11">IFERROR(D14/D$6,"-")</f>
        <v>-0.27500000000000002</v>
      </c>
      <c r="E15" s="5">
        <f t="shared" si="11"/>
        <v>0.11764705882352941</v>
      </c>
      <c r="F15" s="5">
        <f t="shared" si="11"/>
        <v>0.21992199219921993</v>
      </c>
      <c r="G15" s="5">
        <f t="shared" si="11"/>
        <v>0.2480933909031291</v>
      </c>
      <c r="H15" s="5">
        <f t="shared" si="11"/>
        <v>0.27443565448607998</v>
      </c>
      <c r="I15" s="5">
        <f t="shared" si="11"/>
        <v>0.28752914983624389</v>
      </c>
      <c r="J15" s="5">
        <f t="shared" si="11"/>
        <v>0.28752914983624389</v>
      </c>
      <c r="K15" s="5">
        <f t="shared" si="11"/>
        <v>0.28752914983624389</v>
      </c>
      <c r="L15" s="5">
        <f t="shared" si="11"/>
        <v>0.28752914983624389</v>
      </c>
      <c r="M15" s="5">
        <f t="shared" si="11"/>
        <v>0.28752914983624389</v>
      </c>
      <c r="N15" s="5">
        <f t="shared" si="11"/>
        <v>0.28752914983624389</v>
      </c>
      <c r="O15" s="1"/>
      <c r="P15" s="1"/>
      <c r="Q15" s="2"/>
    </row>
    <row r="16" spans="1:17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1:17" x14ac:dyDescent="0.3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1:17" ht="13.9" x14ac:dyDescent="0.4">
      <c r="A18" s="1"/>
      <c r="B18" s="13" t="s">
        <v>42</v>
      </c>
      <c r="C18" s="13"/>
      <c r="D18" s="15">
        <v>0</v>
      </c>
      <c r="E18" s="15">
        <f t="shared" ref="E18:M18" si="12">D18+1</f>
        <v>1</v>
      </c>
      <c r="F18" s="15">
        <f t="shared" si="12"/>
        <v>2</v>
      </c>
      <c r="G18" s="15">
        <f t="shared" si="12"/>
        <v>3</v>
      </c>
      <c r="H18" s="15">
        <f t="shared" si="12"/>
        <v>4</v>
      </c>
      <c r="I18" s="15">
        <f t="shared" si="12"/>
        <v>5</v>
      </c>
      <c r="J18" s="15">
        <f t="shared" si="12"/>
        <v>6</v>
      </c>
      <c r="K18" s="15">
        <f t="shared" si="12"/>
        <v>7</v>
      </c>
      <c r="L18" s="15">
        <f t="shared" si="12"/>
        <v>8</v>
      </c>
      <c r="M18" s="15">
        <f t="shared" si="12"/>
        <v>9</v>
      </c>
      <c r="N18" s="15" t="s">
        <v>47</v>
      </c>
      <c r="O18" s="1"/>
      <c r="P18" s="1"/>
      <c r="Q18" s="1"/>
    </row>
    <row r="19" spans="1:17" x14ac:dyDescent="0.35">
      <c r="A19" s="1"/>
      <c r="B19" s="1" t="s">
        <v>46</v>
      </c>
      <c r="C19" s="1"/>
      <c r="D19" s="3">
        <f t="shared" ref="D19:N19" si="13">D14</f>
        <v>-198000</v>
      </c>
      <c r="E19" s="3">
        <f t="shared" si="13"/>
        <v>132000</v>
      </c>
      <c r="F19" s="3">
        <f t="shared" si="13"/>
        <v>274142</v>
      </c>
      <c r="G19" s="3">
        <f t="shared" si="13"/>
        <v>343586.56200000003</v>
      </c>
      <c r="H19" s="3">
        <f t="shared" si="13"/>
        <v>422255.74558199989</v>
      </c>
      <c r="I19" s="3">
        <f t="shared" si="13"/>
        <v>446825.84748581995</v>
      </c>
      <c r="J19" s="3">
        <f t="shared" si="13"/>
        <v>446825.84748581995</v>
      </c>
      <c r="K19" s="3">
        <f t="shared" si="13"/>
        <v>446825.84748581995</v>
      </c>
      <c r="L19" s="3">
        <f t="shared" si="13"/>
        <v>446825.84748581995</v>
      </c>
      <c r="M19" s="3">
        <f t="shared" si="13"/>
        <v>446825.84748581995</v>
      </c>
      <c r="N19" s="3">
        <f t="shared" si="13"/>
        <v>446825.84748581995</v>
      </c>
      <c r="O19" s="1"/>
      <c r="P19" s="1"/>
      <c r="Q19" s="1"/>
    </row>
    <row r="20" spans="1:17" x14ac:dyDescent="0.35">
      <c r="A20" s="1"/>
      <c r="B20" s="1" t="s">
        <v>36</v>
      </c>
      <c r="C20" s="1"/>
      <c r="D20" s="19">
        <v>-21600</v>
      </c>
      <c r="E20" s="3">
        <f t="shared" ref="E20:N20" si="14">(E6-D6)*$Q$4</f>
        <v>-60300</v>
      </c>
      <c r="F20" s="3">
        <f t="shared" si="14"/>
        <v>-18681.3</v>
      </c>
      <c r="G20" s="3">
        <f t="shared" si="14"/>
        <v>-20754.924300000002</v>
      </c>
      <c r="H20" s="3">
        <f t="shared" si="14"/>
        <v>-23058.720897299994</v>
      </c>
      <c r="I20" s="3">
        <f t="shared" si="14"/>
        <v>-2307.9494519729983</v>
      </c>
      <c r="J20" s="3">
        <f t="shared" si="14"/>
        <v>0</v>
      </c>
      <c r="K20" s="3">
        <f t="shared" si="14"/>
        <v>0</v>
      </c>
      <c r="L20" s="3">
        <f t="shared" si="14"/>
        <v>0</v>
      </c>
      <c r="M20" s="3">
        <f t="shared" si="14"/>
        <v>0</v>
      </c>
      <c r="N20" s="3">
        <f t="shared" si="14"/>
        <v>0</v>
      </c>
      <c r="O20" s="1"/>
      <c r="P20" s="1"/>
      <c r="Q20" s="1"/>
    </row>
    <row r="21" spans="1:17" x14ac:dyDescent="0.35">
      <c r="A21" s="1"/>
      <c r="B21" s="1" t="s">
        <v>48</v>
      </c>
      <c r="C21" s="1"/>
      <c r="D21" s="3">
        <f>-Q5*D12</f>
        <v>-104213.32434254889</v>
      </c>
      <c r="E21" s="3">
        <f t="shared" ref="E21:N21" si="15">-R21*E12</f>
        <v>0</v>
      </c>
      <c r="F21" s="3">
        <f t="shared" si="15"/>
        <v>0</v>
      </c>
      <c r="G21" s="3">
        <f t="shared" si="15"/>
        <v>0</v>
      </c>
      <c r="H21" s="3">
        <f t="shared" si="15"/>
        <v>0</v>
      </c>
      <c r="I21" s="3">
        <f t="shared" si="15"/>
        <v>0</v>
      </c>
      <c r="J21" s="3">
        <f t="shared" si="15"/>
        <v>0</v>
      </c>
      <c r="K21" s="3">
        <f t="shared" si="15"/>
        <v>0</v>
      </c>
      <c r="L21" s="3">
        <f t="shared" si="15"/>
        <v>0</v>
      </c>
      <c r="M21" s="3">
        <f t="shared" si="15"/>
        <v>0</v>
      </c>
      <c r="N21" s="3">
        <f t="shared" si="15"/>
        <v>0</v>
      </c>
      <c r="O21" s="1"/>
      <c r="P21" s="1"/>
      <c r="Q21" s="1"/>
    </row>
    <row r="22" spans="1:17" x14ac:dyDescent="0.35">
      <c r="A22" s="1"/>
      <c r="B22" s="1" t="s">
        <v>49</v>
      </c>
      <c r="C22" s="1"/>
      <c r="D22" s="19">
        <v>-120000</v>
      </c>
      <c r="E22" s="19">
        <f t="shared" ref="E22:N22" si="16">D22</f>
        <v>-120000</v>
      </c>
      <c r="F22" s="19">
        <f t="shared" si="16"/>
        <v>-120000</v>
      </c>
      <c r="G22" s="19">
        <f t="shared" si="16"/>
        <v>-120000</v>
      </c>
      <c r="H22" s="19">
        <f t="shared" si="16"/>
        <v>-120000</v>
      </c>
      <c r="I22" s="19">
        <f t="shared" si="16"/>
        <v>-120000</v>
      </c>
      <c r="J22" s="19">
        <f t="shared" si="16"/>
        <v>-120000</v>
      </c>
      <c r="K22" s="19">
        <f t="shared" si="16"/>
        <v>-120000</v>
      </c>
      <c r="L22" s="19">
        <f t="shared" si="16"/>
        <v>-120000</v>
      </c>
      <c r="M22" s="19">
        <f t="shared" si="16"/>
        <v>-120000</v>
      </c>
      <c r="N22" s="19">
        <f t="shared" si="16"/>
        <v>-120000</v>
      </c>
      <c r="O22" s="1"/>
      <c r="P22" s="1"/>
      <c r="Q22" s="1"/>
    </row>
    <row r="23" spans="1:17" x14ac:dyDescent="0.35">
      <c r="A23" s="1"/>
      <c r="B23" s="3" t="s">
        <v>50</v>
      </c>
      <c r="C23" s="3"/>
      <c r="D23" s="3">
        <f t="shared" ref="D23:N23" si="17">D19+D20+D21+D22</f>
        <v>-443813.32434254891</v>
      </c>
      <c r="E23" s="3">
        <f t="shared" si="17"/>
        <v>-48300</v>
      </c>
      <c r="F23" s="3">
        <f t="shared" si="17"/>
        <v>135460.70000000001</v>
      </c>
      <c r="G23" s="3">
        <f t="shared" si="17"/>
        <v>202831.63770000002</v>
      </c>
      <c r="H23" s="3">
        <f t="shared" si="17"/>
        <v>279197.02468469989</v>
      </c>
      <c r="I23" s="3">
        <f t="shared" si="17"/>
        <v>324517.89803384693</v>
      </c>
      <c r="J23" s="3">
        <f t="shared" si="17"/>
        <v>326825.84748581995</v>
      </c>
      <c r="K23" s="3">
        <f t="shared" si="17"/>
        <v>326825.84748581995</v>
      </c>
      <c r="L23" s="3">
        <f t="shared" si="17"/>
        <v>326825.84748581995</v>
      </c>
      <c r="M23" s="3">
        <f t="shared" si="17"/>
        <v>326825.84748581995</v>
      </c>
      <c r="N23" s="3">
        <f t="shared" si="17"/>
        <v>326825.84748581995</v>
      </c>
      <c r="O23" s="1"/>
      <c r="P23" s="1"/>
      <c r="Q23" s="1"/>
    </row>
    <row r="24" spans="1:17" x14ac:dyDescent="0.35">
      <c r="A24" s="1"/>
      <c r="B24" s="3" t="s">
        <v>51</v>
      </c>
      <c r="C24" s="3"/>
      <c r="D24" s="3">
        <f t="shared" ref="D24:M24" si="18">D23/(1+$Q$6)^D$18</f>
        <v>-443813.32434254891</v>
      </c>
      <c r="E24" s="3">
        <f t="shared" si="18"/>
        <v>-43909.090909090904</v>
      </c>
      <c r="F24" s="3">
        <f t="shared" si="18"/>
        <v>111950.99173553719</v>
      </c>
      <c r="G24" s="3">
        <f t="shared" si="18"/>
        <v>152390.41149511642</v>
      </c>
      <c r="H24" s="3">
        <f t="shared" si="18"/>
        <v>190695.32455754376</v>
      </c>
      <c r="I24" s="3">
        <f t="shared" si="18"/>
        <v>201500.08260355217</v>
      </c>
      <c r="J24" s="3">
        <f t="shared" si="18"/>
        <v>184484.67057347717</v>
      </c>
      <c r="K24" s="3">
        <f t="shared" si="18"/>
        <v>167713.33688497922</v>
      </c>
      <c r="L24" s="3">
        <f t="shared" si="18"/>
        <v>152466.66989543568</v>
      </c>
      <c r="M24" s="3">
        <f t="shared" si="18"/>
        <v>138606.06354130514</v>
      </c>
      <c r="N24" s="3">
        <f>(N23/(Q6-Q7))/(1+Q6)^(M18)</f>
        <v>1732575.7942663142</v>
      </c>
      <c r="O24" s="1"/>
      <c r="P24" s="1"/>
      <c r="Q24" s="1"/>
    </row>
    <row r="25" spans="1:17" ht="13.9" x14ac:dyDescent="0.35">
      <c r="A25" s="1"/>
      <c r="B25" s="24" t="s">
        <v>52</v>
      </c>
      <c r="C25" s="26">
        <f>SUM(D24:N24)</f>
        <v>2544660.9303016211</v>
      </c>
      <c r="D25" s="25">
        <f t="shared" ref="D25:N25" si="19">D24/$C$25</f>
        <v>-0.17440961153513812</v>
      </c>
      <c r="E25" s="25">
        <f t="shared" si="19"/>
        <v>-1.7255379837142513E-2</v>
      </c>
      <c r="F25" s="25">
        <f t="shared" si="19"/>
        <v>4.3994463231793922E-2</v>
      </c>
      <c r="G25" s="25">
        <f t="shared" si="19"/>
        <v>5.9886332862843714E-2</v>
      </c>
      <c r="H25" s="25">
        <f t="shared" si="19"/>
        <v>7.4939384767046535E-2</v>
      </c>
      <c r="I25" s="25">
        <f t="shared" si="19"/>
        <v>7.918543496467649E-2</v>
      </c>
      <c r="J25" s="25">
        <f t="shared" si="19"/>
        <v>7.2498724044782664E-2</v>
      </c>
      <c r="K25" s="25">
        <f t="shared" si="19"/>
        <v>6.5907930949802421E-2</v>
      </c>
      <c r="L25" s="25">
        <f t="shared" si="19"/>
        <v>5.9916300863456749E-2</v>
      </c>
      <c r="M25" s="25">
        <f t="shared" si="19"/>
        <v>5.4469364421324308E-2</v>
      </c>
      <c r="N25" s="25">
        <f t="shared" si="19"/>
        <v>0.68086705526655389</v>
      </c>
      <c r="O25" s="1"/>
      <c r="P25" s="1"/>
      <c r="Q25" s="1"/>
    </row>
  </sheetData>
  <mergeCells count="1">
    <mergeCell ref="P2:Q2"/>
  </mergeCells>
  <pageMargins left="0.25" right="0.25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47"/>
  <sheetViews>
    <sheetView showGridLines="0" zoomScale="85" zoomScaleNormal="85" workbookViewId="0"/>
  </sheetViews>
  <sheetFormatPr defaultColWidth="9" defaultRowHeight="13.5" x14ac:dyDescent="0.35"/>
  <cols>
    <col min="1" max="1" width="2.125" customWidth="1"/>
    <col min="2" max="2" width="25.6875" bestFit="1" customWidth="1"/>
    <col min="3" max="3" width="2.125" customWidth="1"/>
    <col min="19" max="19" width="15.125" bestFit="1" customWidth="1"/>
  </cols>
  <sheetData>
    <row r="1" spans="1:20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2"/>
    </row>
    <row r="2" spans="1:20" ht="13.5" customHeight="1" x14ac:dyDescent="0.4">
      <c r="A2" s="1"/>
      <c r="B2" s="13" t="s">
        <v>0</v>
      </c>
      <c r="C2" s="13"/>
      <c r="D2" s="14">
        <v>2007</v>
      </c>
      <c r="E2" s="14">
        <f t="shared" ref="E2:Q2" si="0">D2+1</f>
        <v>2008</v>
      </c>
      <c r="F2" s="14">
        <f t="shared" si="0"/>
        <v>2009</v>
      </c>
      <c r="G2" s="15">
        <f t="shared" si="0"/>
        <v>2010</v>
      </c>
      <c r="H2" s="15">
        <f t="shared" si="0"/>
        <v>2011</v>
      </c>
      <c r="I2" s="15">
        <f t="shared" si="0"/>
        <v>2012</v>
      </c>
      <c r="J2" s="15">
        <f t="shared" si="0"/>
        <v>2013</v>
      </c>
      <c r="K2" s="15">
        <f t="shared" si="0"/>
        <v>2014</v>
      </c>
      <c r="L2" s="15">
        <f t="shared" si="0"/>
        <v>2015</v>
      </c>
      <c r="M2" s="15">
        <f t="shared" si="0"/>
        <v>2016</v>
      </c>
      <c r="N2" s="15">
        <f t="shared" si="0"/>
        <v>2017</v>
      </c>
      <c r="O2" s="15">
        <f t="shared" si="0"/>
        <v>2018</v>
      </c>
      <c r="P2" s="15">
        <f t="shared" si="0"/>
        <v>2019</v>
      </c>
      <c r="Q2" s="15">
        <f t="shared" si="0"/>
        <v>2020</v>
      </c>
      <c r="R2" s="1"/>
      <c r="S2" s="138" t="s">
        <v>1</v>
      </c>
      <c r="T2" s="139"/>
    </row>
    <row r="3" spans="1:20" ht="13.5" customHeight="1" x14ac:dyDescent="0.35">
      <c r="A3" s="1"/>
      <c r="B3" s="1" t="s">
        <v>2</v>
      </c>
      <c r="C3" s="1"/>
      <c r="D3" s="16">
        <v>5465</v>
      </c>
      <c r="E3" s="16">
        <v>5789</v>
      </c>
      <c r="F3" s="16">
        <v>3000</v>
      </c>
      <c r="G3" s="16">
        <f t="shared" ref="G3:Q3" si="1">MAX(SUM($D4:G4)-SUM($D3:F3),3000)</f>
        <v>3000</v>
      </c>
      <c r="H3" s="16">
        <f t="shared" si="1"/>
        <v>3000</v>
      </c>
      <c r="I3" s="16">
        <f t="shared" si="1"/>
        <v>4651</v>
      </c>
      <c r="J3" s="16">
        <f t="shared" si="1"/>
        <v>5324</v>
      </c>
      <c r="K3" s="16">
        <f t="shared" si="1"/>
        <v>5856.4000000000015</v>
      </c>
      <c r="L3" s="16">
        <f t="shared" si="1"/>
        <v>5856.4000000000015</v>
      </c>
      <c r="M3" s="16">
        <f t="shared" si="1"/>
        <v>5856.4000000000015</v>
      </c>
      <c r="N3" s="16">
        <f t="shared" si="1"/>
        <v>5856.4000000000015</v>
      </c>
      <c r="O3" s="16">
        <f t="shared" si="1"/>
        <v>5856.4000000000015</v>
      </c>
      <c r="P3" s="16">
        <f t="shared" si="1"/>
        <v>5856.4000000000015</v>
      </c>
      <c r="Q3" s="16">
        <f t="shared" si="1"/>
        <v>5856.3999999999942</v>
      </c>
      <c r="R3" s="1"/>
      <c r="S3" s="1"/>
      <c r="T3" s="2"/>
    </row>
    <row r="4" spans="1:20" ht="13.5" customHeight="1" x14ac:dyDescent="0.35">
      <c r="A4" s="1"/>
      <c r="B4" s="1" t="s">
        <v>3</v>
      </c>
      <c r="C4" s="1"/>
      <c r="D4" s="16">
        <v>5465</v>
      </c>
      <c r="E4" s="16">
        <v>3000</v>
      </c>
      <c r="F4" s="16">
        <v>3200</v>
      </c>
      <c r="G4" s="16">
        <v>4000</v>
      </c>
      <c r="H4" s="16">
        <f t="shared" ref="H4:K4" si="2">G4*1.1</f>
        <v>4400</v>
      </c>
      <c r="I4" s="16">
        <f t="shared" si="2"/>
        <v>4840</v>
      </c>
      <c r="J4" s="16">
        <f t="shared" si="2"/>
        <v>5324</v>
      </c>
      <c r="K4" s="16">
        <f t="shared" si="2"/>
        <v>5856.4000000000005</v>
      </c>
      <c r="L4" s="16">
        <f t="shared" ref="L4:Q5" si="3">K4</f>
        <v>5856.4000000000005</v>
      </c>
      <c r="M4" s="16">
        <f t="shared" si="3"/>
        <v>5856.4000000000005</v>
      </c>
      <c r="N4" s="16">
        <f t="shared" si="3"/>
        <v>5856.4000000000005</v>
      </c>
      <c r="O4" s="16">
        <f t="shared" si="3"/>
        <v>5856.4000000000005</v>
      </c>
      <c r="P4" s="16">
        <f t="shared" si="3"/>
        <v>5856.4000000000005</v>
      </c>
      <c r="Q4" s="16">
        <f t="shared" si="3"/>
        <v>5856.4000000000005</v>
      </c>
      <c r="R4" s="1"/>
      <c r="S4" s="1" t="s">
        <v>4</v>
      </c>
      <c r="T4" s="17">
        <v>-7.0000000000000007E-2</v>
      </c>
    </row>
    <row r="5" spans="1:20" ht="13.5" customHeight="1" x14ac:dyDescent="0.35">
      <c r="A5" s="1"/>
      <c r="B5" s="1" t="s">
        <v>5</v>
      </c>
      <c r="C5" s="1"/>
      <c r="D5" s="16">
        <v>255</v>
      </c>
      <c r="E5" s="16">
        <v>229</v>
      </c>
      <c r="F5" s="16">
        <v>180</v>
      </c>
      <c r="G5" s="16">
        <v>180</v>
      </c>
      <c r="H5" s="16">
        <v>255</v>
      </c>
      <c r="I5" s="16">
        <f t="shared" ref="I5:L5" si="4">H5*1.01</f>
        <v>257.55</v>
      </c>
      <c r="J5" s="16">
        <f t="shared" si="4"/>
        <v>260.12549999999999</v>
      </c>
      <c r="K5" s="16">
        <f t="shared" si="4"/>
        <v>262.72675499999997</v>
      </c>
      <c r="L5" s="16">
        <f t="shared" si="4"/>
        <v>265.35402254999997</v>
      </c>
      <c r="M5" s="16">
        <f t="shared" si="3"/>
        <v>265.35402254999997</v>
      </c>
      <c r="N5" s="16">
        <f t="shared" si="3"/>
        <v>265.35402254999997</v>
      </c>
      <c r="O5" s="16">
        <f t="shared" si="3"/>
        <v>265.35402254999997</v>
      </c>
      <c r="P5" s="16">
        <f t="shared" si="3"/>
        <v>265.35402254999997</v>
      </c>
      <c r="Q5" s="16">
        <f t="shared" si="3"/>
        <v>265.35402254999997</v>
      </c>
      <c r="R5" s="1"/>
      <c r="S5" s="1" t="s">
        <v>6</v>
      </c>
      <c r="T5" s="17">
        <v>-0.1</v>
      </c>
    </row>
    <row r="6" spans="1:20" ht="13.5" customHeight="1" x14ac:dyDescent="0.35">
      <c r="A6" s="1"/>
      <c r="B6" s="1" t="s">
        <v>7</v>
      </c>
      <c r="C6" s="1"/>
      <c r="D6" s="3">
        <f t="shared" ref="D6:Q6" si="5">D$4*D5</f>
        <v>1393575</v>
      </c>
      <c r="E6" s="3">
        <f t="shared" si="5"/>
        <v>687000</v>
      </c>
      <c r="F6" s="3">
        <f t="shared" si="5"/>
        <v>576000</v>
      </c>
      <c r="G6" s="3">
        <f t="shared" si="5"/>
        <v>720000</v>
      </c>
      <c r="H6" s="3">
        <f t="shared" si="5"/>
        <v>1122000</v>
      </c>
      <c r="I6" s="3">
        <f t="shared" si="5"/>
        <v>1246542</v>
      </c>
      <c r="J6" s="3">
        <f t="shared" si="5"/>
        <v>1384908.162</v>
      </c>
      <c r="K6" s="3">
        <f t="shared" si="5"/>
        <v>1538632.967982</v>
      </c>
      <c r="L6" s="3">
        <f t="shared" si="5"/>
        <v>1554019.29766182</v>
      </c>
      <c r="M6" s="3">
        <f t="shared" si="5"/>
        <v>1554019.29766182</v>
      </c>
      <c r="N6" s="3">
        <f t="shared" si="5"/>
        <v>1554019.29766182</v>
      </c>
      <c r="O6" s="3">
        <f t="shared" si="5"/>
        <v>1554019.29766182</v>
      </c>
      <c r="P6" s="3">
        <f t="shared" si="5"/>
        <v>1554019.29766182</v>
      </c>
      <c r="Q6" s="3">
        <f t="shared" si="5"/>
        <v>1554019.29766182</v>
      </c>
      <c r="R6" s="1"/>
      <c r="S6" s="1" t="s">
        <v>8</v>
      </c>
      <c r="T6" s="17">
        <v>-0.34</v>
      </c>
    </row>
    <row r="7" spans="1:20" ht="13.5" customHeight="1" x14ac:dyDescent="0.35">
      <c r="A7" s="1"/>
      <c r="B7" s="1" t="s">
        <v>9</v>
      </c>
      <c r="C7" s="1"/>
      <c r="D7" s="16">
        <v>-150</v>
      </c>
      <c r="E7" s="16">
        <v>-148</v>
      </c>
      <c r="F7" s="16">
        <v>-180</v>
      </c>
      <c r="G7" s="16">
        <v>-180</v>
      </c>
      <c r="H7" s="16">
        <v>-180</v>
      </c>
      <c r="I7" s="16">
        <v>-160</v>
      </c>
      <c r="J7" s="16">
        <f t="shared" ref="J7:L7" si="6">I7*0.99</f>
        <v>-158.4</v>
      </c>
      <c r="K7" s="16">
        <f t="shared" si="6"/>
        <v>-156.816</v>
      </c>
      <c r="L7" s="16">
        <f t="shared" si="6"/>
        <v>-155.24784</v>
      </c>
      <c r="M7" s="16">
        <f t="shared" ref="M7:Q7" si="7">L7</f>
        <v>-155.24784</v>
      </c>
      <c r="N7" s="16">
        <f t="shared" si="7"/>
        <v>-155.24784</v>
      </c>
      <c r="O7" s="16">
        <f t="shared" si="7"/>
        <v>-155.24784</v>
      </c>
      <c r="P7" s="16">
        <f t="shared" si="7"/>
        <v>-155.24784</v>
      </c>
      <c r="Q7" s="16">
        <f t="shared" si="7"/>
        <v>-155.24784</v>
      </c>
      <c r="R7" s="1"/>
      <c r="S7" s="1" t="s">
        <v>10</v>
      </c>
      <c r="T7" s="18">
        <v>175000</v>
      </c>
    </row>
    <row r="8" spans="1:20" x14ac:dyDescent="0.35">
      <c r="A8" s="1"/>
      <c r="B8" s="1" t="s">
        <v>11</v>
      </c>
      <c r="C8" s="1"/>
      <c r="D8" s="3">
        <f t="shared" ref="D8:Q8" si="8">D$4*D7</f>
        <v>-819750</v>
      </c>
      <c r="E8" s="3">
        <f t="shared" si="8"/>
        <v>-444000</v>
      </c>
      <c r="F8" s="3">
        <f t="shared" si="8"/>
        <v>-576000</v>
      </c>
      <c r="G8" s="3">
        <f t="shared" si="8"/>
        <v>-720000</v>
      </c>
      <c r="H8" s="3">
        <f t="shared" si="8"/>
        <v>-792000</v>
      </c>
      <c r="I8" s="3">
        <f t="shared" si="8"/>
        <v>-774400</v>
      </c>
      <c r="J8" s="3">
        <f t="shared" si="8"/>
        <v>-843321.6</v>
      </c>
      <c r="K8" s="3">
        <f t="shared" si="8"/>
        <v>-918377.22240000009</v>
      </c>
      <c r="L8" s="3">
        <f t="shared" si="8"/>
        <v>-909193.45017600001</v>
      </c>
      <c r="M8" s="3">
        <f t="shared" si="8"/>
        <v>-909193.45017600001</v>
      </c>
      <c r="N8" s="3">
        <f t="shared" si="8"/>
        <v>-909193.45017600001</v>
      </c>
      <c r="O8" s="3">
        <f t="shared" si="8"/>
        <v>-909193.45017600001</v>
      </c>
      <c r="P8" s="3">
        <f t="shared" si="8"/>
        <v>-909193.45017600001</v>
      </c>
      <c r="Q8" s="3">
        <f t="shared" si="8"/>
        <v>-909193.45017600001</v>
      </c>
      <c r="R8" s="1"/>
      <c r="S8" s="1"/>
      <c r="T8" s="2"/>
    </row>
    <row r="9" spans="1:20" x14ac:dyDescent="0.35">
      <c r="A9" s="1"/>
      <c r="B9" s="1" t="s">
        <v>12</v>
      </c>
      <c r="C9" s="1"/>
      <c r="D9" s="3">
        <f t="shared" ref="D9:Q9" si="9">D6+D8</f>
        <v>573825</v>
      </c>
      <c r="E9" s="3">
        <f t="shared" si="9"/>
        <v>243000</v>
      </c>
      <c r="F9" s="3">
        <f t="shared" si="9"/>
        <v>0</v>
      </c>
      <c r="G9" s="3">
        <f t="shared" si="9"/>
        <v>0</v>
      </c>
      <c r="H9" s="3">
        <f t="shared" si="9"/>
        <v>330000</v>
      </c>
      <c r="I9" s="3">
        <f t="shared" si="9"/>
        <v>472142</v>
      </c>
      <c r="J9" s="3">
        <f t="shared" si="9"/>
        <v>541586.56200000003</v>
      </c>
      <c r="K9" s="3">
        <f t="shared" si="9"/>
        <v>620255.74558199989</v>
      </c>
      <c r="L9" s="3">
        <f t="shared" si="9"/>
        <v>644825.84748581995</v>
      </c>
      <c r="M9" s="3">
        <f t="shared" si="9"/>
        <v>644825.84748581995</v>
      </c>
      <c r="N9" s="3">
        <f t="shared" si="9"/>
        <v>644825.84748581995</v>
      </c>
      <c r="O9" s="3">
        <f t="shared" si="9"/>
        <v>644825.84748581995</v>
      </c>
      <c r="P9" s="3">
        <f t="shared" si="9"/>
        <v>644825.84748581995</v>
      </c>
      <c r="Q9" s="3">
        <f t="shared" si="9"/>
        <v>644825.84748581995</v>
      </c>
      <c r="R9" s="1"/>
      <c r="S9" s="1"/>
      <c r="T9" s="2"/>
    </row>
    <row r="10" spans="1:20" ht="13.5" customHeight="1" x14ac:dyDescent="0.35">
      <c r="A10" s="1"/>
      <c r="B10" s="1" t="s">
        <v>13</v>
      </c>
      <c r="C10" s="1"/>
      <c r="D10" s="19">
        <v>-197000</v>
      </c>
      <c r="E10" s="19">
        <v>-198000</v>
      </c>
      <c r="F10" s="19">
        <v>-150000</v>
      </c>
      <c r="G10" s="19">
        <v>-198000</v>
      </c>
      <c r="H10" s="19">
        <v>-198000</v>
      </c>
      <c r="I10" s="19">
        <v>-198000</v>
      </c>
      <c r="J10" s="19">
        <v>-198000</v>
      </c>
      <c r="K10" s="19">
        <v>-198000</v>
      </c>
      <c r="L10" s="19">
        <v>-198000</v>
      </c>
      <c r="M10" s="19">
        <v>-198000</v>
      </c>
      <c r="N10" s="19">
        <v>-198000</v>
      </c>
      <c r="O10" s="19">
        <v>-198000</v>
      </c>
      <c r="P10" s="19">
        <v>-198000</v>
      </c>
      <c r="Q10" s="19">
        <v>-198000</v>
      </c>
      <c r="R10" s="1"/>
      <c r="S10" s="1"/>
      <c r="T10" s="2"/>
    </row>
    <row r="11" spans="1:20" ht="13.5" customHeight="1" x14ac:dyDescent="0.35">
      <c r="A11" s="1"/>
      <c r="B11" s="1" t="s">
        <v>14</v>
      </c>
      <c r="C11" s="1"/>
      <c r="D11" s="19">
        <v>-106000</v>
      </c>
      <c r="E11" s="19">
        <v>-107000</v>
      </c>
      <c r="F11" s="19">
        <v>-108000</v>
      </c>
      <c r="G11" s="3">
        <f t="shared" ref="G11:Q11" si="10">F26*F11/E26</f>
        <v>-108509.77747808496</v>
      </c>
      <c r="H11" s="3">
        <f t="shared" si="10"/>
        <v>-109346.55700092165</v>
      </c>
      <c r="I11" s="3">
        <f t="shared" si="10"/>
        <v>-110122.39775877766</v>
      </c>
      <c r="J11" s="3">
        <f t="shared" si="10"/>
        <v>-110841.73763878577</v>
      </c>
      <c r="K11" s="3">
        <f t="shared" si="10"/>
        <v>-111508.69133737723</v>
      </c>
      <c r="L11" s="3">
        <f t="shared" si="10"/>
        <v>-112127.07389675904</v>
      </c>
      <c r="M11" s="3">
        <f t="shared" si="10"/>
        <v>-112700.42252733896</v>
      </c>
      <c r="N11" s="3">
        <f t="shared" si="10"/>
        <v>-113232.01684092452</v>
      </c>
      <c r="O11" s="3">
        <f t="shared" si="10"/>
        <v>-113724.89761043238</v>
      </c>
      <c r="P11" s="3">
        <f t="shared" si="10"/>
        <v>-114181.88416341506</v>
      </c>
      <c r="Q11" s="3">
        <f t="shared" si="10"/>
        <v>-114605.59050889798</v>
      </c>
      <c r="R11" s="1"/>
      <c r="S11" s="1"/>
      <c r="T11" s="2"/>
    </row>
    <row r="12" spans="1:20" x14ac:dyDescent="0.35">
      <c r="A12" s="1"/>
      <c r="B12" s="1" t="s">
        <v>15</v>
      </c>
      <c r="C12" s="1"/>
      <c r="D12" s="3">
        <f t="shared" ref="D12:Q12" si="11">D9+D10+D11</f>
        <v>270825</v>
      </c>
      <c r="E12" s="3">
        <f t="shared" si="11"/>
        <v>-62000</v>
      </c>
      <c r="F12" s="3">
        <f t="shared" si="11"/>
        <v>-258000</v>
      </c>
      <c r="G12" s="3">
        <f t="shared" si="11"/>
        <v>-306509.77747808496</v>
      </c>
      <c r="H12" s="3">
        <f t="shared" si="11"/>
        <v>22653.442999078354</v>
      </c>
      <c r="I12" s="3">
        <f t="shared" si="11"/>
        <v>164019.60224122234</v>
      </c>
      <c r="J12" s="3">
        <f t="shared" si="11"/>
        <v>232744.82436121427</v>
      </c>
      <c r="K12" s="3">
        <f t="shared" si="11"/>
        <v>310747.05424462265</v>
      </c>
      <c r="L12" s="3">
        <f t="shared" si="11"/>
        <v>334698.77358906087</v>
      </c>
      <c r="M12" s="3">
        <f t="shared" si="11"/>
        <v>334125.42495848099</v>
      </c>
      <c r="N12" s="3">
        <f t="shared" si="11"/>
        <v>333593.83064489544</v>
      </c>
      <c r="O12" s="3">
        <f t="shared" si="11"/>
        <v>333100.9498753876</v>
      </c>
      <c r="P12" s="3">
        <f t="shared" si="11"/>
        <v>332643.96332240489</v>
      </c>
      <c r="Q12" s="3">
        <f t="shared" si="11"/>
        <v>332220.25697692198</v>
      </c>
      <c r="R12" s="1"/>
      <c r="S12" s="1"/>
      <c r="T12" s="2"/>
    </row>
    <row r="13" spans="1:20" ht="13.9" x14ac:dyDescent="0.4">
      <c r="A13" s="1"/>
      <c r="B13" s="4" t="str">
        <f>B12&amp;" [%]"</f>
        <v>EBIT [%]</v>
      </c>
      <c r="C13" s="4"/>
      <c r="D13" s="5">
        <f t="shared" ref="D13:Q13" si="12">IFERROR(D12/D$6,"-")</f>
        <v>0.19433830256713847</v>
      </c>
      <c r="E13" s="5">
        <f t="shared" si="12"/>
        <v>-9.0247452692867547E-2</v>
      </c>
      <c r="F13" s="5">
        <f t="shared" si="12"/>
        <v>-0.44791666666666669</v>
      </c>
      <c r="G13" s="5">
        <f t="shared" si="12"/>
        <v>-0.425708024275118</v>
      </c>
      <c r="H13" s="5">
        <f t="shared" si="12"/>
        <v>2.0190234402030618E-2</v>
      </c>
      <c r="I13" s="5">
        <f t="shared" si="12"/>
        <v>0.13157968383032609</v>
      </c>
      <c r="J13" s="5">
        <f t="shared" si="12"/>
        <v>0.1680579483516787</v>
      </c>
      <c r="K13" s="5">
        <f t="shared" si="12"/>
        <v>0.20196308067685834</v>
      </c>
      <c r="L13" s="5">
        <f t="shared" si="12"/>
        <v>0.21537620162931645</v>
      </c>
      <c r="M13" s="5">
        <f t="shared" si="12"/>
        <v>0.21500725599817624</v>
      </c>
      <c r="N13" s="5">
        <f t="shared" si="12"/>
        <v>0.21466517896323506</v>
      </c>
      <c r="O13" s="5">
        <f t="shared" si="12"/>
        <v>0.21434801380946289</v>
      </c>
      <c r="P13" s="5">
        <f t="shared" si="12"/>
        <v>0.21405394632029445</v>
      </c>
      <c r="Q13" s="5">
        <f t="shared" si="12"/>
        <v>0.21378129440012819</v>
      </c>
      <c r="R13" s="1"/>
      <c r="S13" s="1"/>
      <c r="T13" s="2"/>
    </row>
    <row r="14" spans="1:20" ht="13.5" customHeight="1" x14ac:dyDescent="0.35">
      <c r="A14" s="1"/>
      <c r="B14" s="1" t="s">
        <v>16</v>
      </c>
      <c r="C14" s="1"/>
      <c r="D14" s="19">
        <v>-42000</v>
      </c>
      <c r="E14" s="19">
        <v>-75000</v>
      </c>
      <c r="F14" s="19">
        <v>-120000</v>
      </c>
      <c r="G14" s="3">
        <f t="shared" ref="G14:Q14" si="13">$T$4*(F30+F32)-$T$5*F29</f>
        <v>-87022.800000000017</v>
      </c>
      <c r="H14" s="3">
        <f t="shared" si="13"/>
        <v>-22662.272947808495</v>
      </c>
      <c r="I14" s="3">
        <f t="shared" si="13"/>
        <v>-42163.218633345299</v>
      </c>
      <c r="J14" s="3">
        <f t="shared" si="13"/>
        <v>-51673.541312755624</v>
      </c>
      <c r="K14" s="3">
        <f t="shared" si="13"/>
        <v>-61197.269758659</v>
      </c>
      <c r="L14" s="3">
        <f t="shared" si="13"/>
        <v>-59500.000000000007</v>
      </c>
      <c r="M14" s="3">
        <f t="shared" si="13"/>
        <v>-56000.000000000007</v>
      </c>
      <c r="N14" s="3">
        <f t="shared" si="13"/>
        <v>-52500.000000000007</v>
      </c>
      <c r="O14" s="3">
        <f t="shared" si="13"/>
        <v>-49000.000000000007</v>
      </c>
      <c r="P14" s="3">
        <f t="shared" si="13"/>
        <v>-45500.000000000007</v>
      </c>
      <c r="Q14" s="3">
        <f t="shared" si="13"/>
        <v>-42000.000000000007</v>
      </c>
      <c r="R14" s="1"/>
      <c r="S14" s="1"/>
      <c r="T14" s="2"/>
    </row>
    <row r="15" spans="1:20" x14ac:dyDescent="0.35">
      <c r="A15" s="1"/>
      <c r="B15" s="1" t="s">
        <v>17</v>
      </c>
      <c r="C15" s="1"/>
      <c r="D15" s="3">
        <f t="shared" ref="D15:Q15" si="14">D9+D10+D14</f>
        <v>334825</v>
      </c>
      <c r="E15" s="3">
        <f t="shared" si="14"/>
        <v>-30000</v>
      </c>
      <c r="F15" s="3">
        <f t="shared" si="14"/>
        <v>-270000</v>
      </c>
      <c r="G15" s="3">
        <f t="shared" si="14"/>
        <v>-285022.80000000005</v>
      </c>
      <c r="H15" s="3">
        <f t="shared" si="14"/>
        <v>109337.72705219151</v>
      </c>
      <c r="I15" s="3">
        <f t="shared" si="14"/>
        <v>231978.7813666547</v>
      </c>
      <c r="J15" s="3">
        <f t="shared" si="14"/>
        <v>291913.02068724443</v>
      </c>
      <c r="K15" s="3">
        <f t="shared" si="14"/>
        <v>361058.47582334088</v>
      </c>
      <c r="L15" s="3">
        <f t="shared" si="14"/>
        <v>387325.84748581995</v>
      </c>
      <c r="M15" s="3">
        <f t="shared" si="14"/>
        <v>390825.84748581995</v>
      </c>
      <c r="N15" s="3">
        <f t="shared" si="14"/>
        <v>394325.84748581995</v>
      </c>
      <c r="O15" s="3">
        <f t="shared" si="14"/>
        <v>397825.84748581995</v>
      </c>
      <c r="P15" s="3">
        <f t="shared" si="14"/>
        <v>401325.84748581995</v>
      </c>
      <c r="Q15" s="3">
        <f t="shared" si="14"/>
        <v>404825.84748581995</v>
      </c>
      <c r="R15" s="1"/>
      <c r="S15" s="1"/>
      <c r="T15" s="2"/>
    </row>
    <row r="16" spans="1:20" ht="13.5" customHeight="1" x14ac:dyDescent="0.35">
      <c r="A16" s="1"/>
      <c r="B16" s="1" t="s">
        <v>18</v>
      </c>
      <c r="C16" s="1"/>
      <c r="D16" s="19">
        <v>-149654.74000000002</v>
      </c>
      <c r="E16" s="19">
        <v>5000</v>
      </c>
      <c r="F16" s="19">
        <v>8000</v>
      </c>
      <c r="G16" s="3">
        <f t="shared" ref="G16:Q16" si="15">G15*$T$6</f>
        <v>96907.752000000022</v>
      </c>
      <c r="H16" s="3">
        <f t="shared" si="15"/>
        <v>-37174.827197745115</v>
      </c>
      <c r="I16" s="3">
        <f t="shared" si="15"/>
        <v>-78872.785664662602</v>
      </c>
      <c r="J16" s="3">
        <f t="shared" si="15"/>
        <v>-99250.427033663116</v>
      </c>
      <c r="K16" s="3">
        <f t="shared" si="15"/>
        <v>-122759.88177993591</v>
      </c>
      <c r="L16" s="3">
        <f t="shared" si="15"/>
        <v>-131690.78814517878</v>
      </c>
      <c r="M16" s="3">
        <f t="shared" si="15"/>
        <v>-132880.78814517878</v>
      </c>
      <c r="N16" s="3">
        <f t="shared" si="15"/>
        <v>-134070.78814517878</v>
      </c>
      <c r="O16" s="3">
        <f t="shared" si="15"/>
        <v>-135260.78814517878</v>
      </c>
      <c r="P16" s="3">
        <f t="shared" si="15"/>
        <v>-136450.78814517878</v>
      </c>
      <c r="Q16" s="3">
        <f t="shared" si="15"/>
        <v>-137640.78814517878</v>
      </c>
      <c r="R16" s="1"/>
      <c r="S16" s="1"/>
      <c r="T16" s="2"/>
    </row>
    <row r="17" spans="1:20" ht="13.9" x14ac:dyDescent="0.4">
      <c r="A17" s="1"/>
      <c r="B17" s="20" t="s">
        <v>19</v>
      </c>
      <c r="C17" s="20"/>
      <c r="D17" s="21">
        <f t="shared" ref="D17:Q17" si="16">D15+D16</f>
        <v>185170.25999999998</v>
      </c>
      <c r="E17" s="21">
        <f t="shared" si="16"/>
        <v>-25000</v>
      </c>
      <c r="F17" s="21">
        <f t="shared" si="16"/>
        <v>-262000</v>
      </c>
      <c r="G17" s="21">
        <f t="shared" si="16"/>
        <v>-188115.04800000001</v>
      </c>
      <c r="H17" s="21">
        <f t="shared" si="16"/>
        <v>72162.899854446383</v>
      </c>
      <c r="I17" s="21">
        <f t="shared" si="16"/>
        <v>153105.9957019921</v>
      </c>
      <c r="J17" s="21">
        <f t="shared" si="16"/>
        <v>192662.59365358131</v>
      </c>
      <c r="K17" s="21">
        <f t="shared" si="16"/>
        <v>238298.59404340497</v>
      </c>
      <c r="L17" s="21">
        <f t="shared" si="16"/>
        <v>255635.05934064116</v>
      </c>
      <c r="M17" s="21">
        <f t="shared" si="16"/>
        <v>257945.05934064116</v>
      </c>
      <c r="N17" s="21">
        <f t="shared" si="16"/>
        <v>260255.05934064116</v>
      </c>
      <c r="O17" s="21">
        <f t="shared" si="16"/>
        <v>262565.05934064114</v>
      </c>
      <c r="P17" s="21">
        <f t="shared" si="16"/>
        <v>264875.05934064114</v>
      </c>
      <c r="Q17" s="21">
        <f t="shared" si="16"/>
        <v>267185.05934064114</v>
      </c>
      <c r="R17" s="1"/>
      <c r="S17" s="1"/>
      <c r="T17" s="2"/>
    </row>
    <row r="18" spans="1:20" ht="13.9" x14ac:dyDescent="0.4">
      <c r="A18" s="1"/>
      <c r="B18" s="4" t="str">
        <f>B17&amp;" [%]"</f>
        <v>Net Profit [%]</v>
      </c>
      <c r="C18" s="4"/>
      <c r="D18" s="5">
        <f t="shared" ref="D18:Q18" si="17">IFERROR(D17/D$6,"-")</f>
        <v>0.13287426941499381</v>
      </c>
      <c r="E18" s="5">
        <f t="shared" si="17"/>
        <v>-3.6390101892285295E-2</v>
      </c>
      <c r="F18" s="5">
        <f t="shared" si="17"/>
        <v>-0.4548611111111111</v>
      </c>
      <c r="G18" s="5">
        <f t="shared" si="17"/>
        <v>-0.26127090000000003</v>
      </c>
      <c r="H18" s="5">
        <f t="shared" si="17"/>
        <v>6.4316310030700874E-2</v>
      </c>
      <c r="I18" s="5">
        <f t="shared" si="17"/>
        <v>0.12282457847548826</v>
      </c>
      <c r="J18" s="5">
        <f t="shared" si="17"/>
        <v>0.13911579044732447</v>
      </c>
      <c r="K18" s="5">
        <f t="shared" si="17"/>
        <v>0.15487682832894606</v>
      </c>
      <c r="L18" s="5">
        <f t="shared" si="17"/>
        <v>0.16449928242543069</v>
      </c>
      <c r="M18" s="5">
        <f t="shared" si="17"/>
        <v>0.16598575045287128</v>
      </c>
      <c r="N18" s="5">
        <f t="shared" si="17"/>
        <v>0.16747221848031191</v>
      </c>
      <c r="O18" s="5">
        <f t="shared" si="17"/>
        <v>0.16895868650775248</v>
      </c>
      <c r="P18" s="5">
        <f t="shared" si="17"/>
        <v>0.1704451545351931</v>
      </c>
      <c r="Q18" s="5">
        <f t="shared" si="17"/>
        <v>0.1719316225626337</v>
      </c>
      <c r="R18" s="1"/>
      <c r="S18" s="1"/>
      <c r="T18" s="2"/>
    </row>
    <row r="19" spans="1:20" x14ac:dyDescent="0.35">
      <c r="A19" s="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1"/>
      <c r="S19" s="1"/>
      <c r="T19" s="2"/>
    </row>
    <row r="20" spans="1:20" ht="17.649999999999999" x14ac:dyDescent="0.5">
      <c r="A20" s="1"/>
      <c r="B20" s="1"/>
      <c r="C20" s="1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"/>
      <c r="S20" s="1"/>
      <c r="T20" s="2"/>
    </row>
    <row r="21" spans="1:20" ht="13.5" customHeight="1" x14ac:dyDescent="0.4">
      <c r="A21" s="1"/>
      <c r="B21" s="13" t="s">
        <v>20</v>
      </c>
      <c r="C21" s="13"/>
      <c r="D21" s="14">
        <v>2007</v>
      </c>
      <c r="E21" s="14">
        <f t="shared" ref="E21:Q21" si="18">D21+1</f>
        <v>2008</v>
      </c>
      <c r="F21" s="14">
        <f t="shared" si="18"/>
        <v>2009</v>
      </c>
      <c r="G21" s="15">
        <f t="shared" si="18"/>
        <v>2010</v>
      </c>
      <c r="H21" s="15">
        <f t="shared" si="18"/>
        <v>2011</v>
      </c>
      <c r="I21" s="15">
        <f t="shared" si="18"/>
        <v>2012</v>
      </c>
      <c r="J21" s="15">
        <f t="shared" si="18"/>
        <v>2013</v>
      </c>
      <c r="K21" s="15">
        <f t="shared" si="18"/>
        <v>2014</v>
      </c>
      <c r="L21" s="15">
        <f t="shared" si="18"/>
        <v>2015</v>
      </c>
      <c r="M21" s="15">
        <f t="shared" si="18"/>
        <v>2016</v>
      </c>
      <c r="N21" s="15">
        <f t="shared" si="18"/>
        <v>2017</v>
      </c>
      <c r="O21" s="15">
        <f t="shared" si="18"/>
        <v>2018</v>
      </c>
      <c r="P21" s="15">
        <f t="shared" si="18"/>
        <v>2019</v>
      </c>
      <c r="Q21" s="15">
        <f t="shared" si="18"/>
        <v>2020</v>
      </c>
      <c r="R21" s="1"/>
      <c r="S21" s="1"/>
      <c r="T21" s="2"/>
    </row>
    <row r="22" spans="1:20" ht="13.5" customHeight="1" x14ac:dyDescent="0.35">
      <c r="A22" s="1"/>
      <c r="B22" s="7" t="s">
        <v>21</v>
      </c>
      <c r="C22" s="7"/>
      <c r="D22" s="19">
        <v>200000</v>
      </c>
      <c r="E22" s="3">
        <f t="shared" ref="E22:Q22" si="19">E46</f>
        <v>203228</v>
      </c>
      <c r="F22" s="3">
        <f t="shared" si="19"/>
        <v>175000</v>
      </c>
      <c r="G22" s="3">
        <f t="shared" si="19"/>
        <v>175000</v>
      </c>
      <c r="H22" s="3">
        <f t="shared" si="19"/>
        <v>175000</v>
      </c>
      <c r="I22" s="3">
        <f t="shared" si="19"/>
        <v>175000</v>
      </c>
      <c r="J22" s="3">
        <f t="shared" si="19"/>
        <v>175000</v>
      </c>
      <c r="K22" s="3">
        <f t="shared" si="19"/>
        <v>330224.21766887209</v>
      </c>
      <c r="L22" s="3">
        <f t="shared" si="19"/>
        <v>525938.84241428715</v>
      </c>
      <c r="M22" s="3">
        <f t="shared" si="19"/>
        <v>726584.32428226713</v>
      </c>
      <c r="N22" s="3">
        <f t="shared" si="19"/>
        <v>930071.40046383278</v>
      </c>
      <c r="O22" s="3">
        <f t="shared" si="19"/>
        <v>1136361.3574149061</v>
      </c>
      <c r="P22" s="3">
        <f t="shared" si="19"/>
        <v>1345418.3009189623</v>
      </c>
      <c r="Q22" s="3">
        <f t="shared" si="19"/>
        <v>1557208.9507685024</v>
      </c>
      <c r="R22" s="1"/>
      <c r="S22" s="1"/>
      <c r="T22" s="2"/>
    </row>
    <row r="23" spans="1:20" ht="13.5" customHeight="1" x14ac:dyDescent="0.35">
      <c r="A23" s="1"/>
      <c r="B23" s="7" t="s">
        <v>22</v>
      </c>
      <c r="C23" s="7"/>
      <c r="D23" s="19">
        <v>100000</v>
      </c>
      <c r="E23" s="19">
        <v>43000</v>
      </c>
      <c r="F23" s="19">
        <v>22000</v>
      </c>
      <c r="G23" s="19">
        <f t="shared" ref="G23:Q23" si="20">G6/12</f>
        <v>60000</v>
      </c>
      <c r="H23" s="19">
        <f t="shared" si="20"/>
        <v>93500</v>
      </c>
      <c r="I23" s="19">
        <f t="shared" si="20"/>
        <v>103878.5</v>
      </c>
      <c r="J23" s="19">
        <f t="shared" si="20"/>
        <v>115409.0135</v>
      </c>
      <c r="K23" s="19">
        <f t="shared" si="20"/>
        <v>128219.41399849999</v>
      </c>
      <c r="L23" s="19">
        <f t="shared" si="20"/>
        <v>129501.608138485</v>
      </c>
      <c r="M23" s="19">
        <f t="shared" si="20"/>
        <v>129501.608138485</v>
      </c>
      <c r="N23" s="19">
        <f t="shared" si="20"/>
        <v>129501.608138485</v>
      </c>
      <c r="O23" s="19">
        <f t="shared" si="20"/>
        <v>129501.608138485</v>
      </c>
      <c r="P23" s="19">
        <f t="shared" si="20"/>
        <v>129501.608138485</v>
      </c>
      <c r="Q23" s="19">
        <f t="shared" si="20"/>
        <v>129501.608138485</v>
      </c>
      <c r="R23" s="1"/>
      <c r="S23" s="1"/>
      <c r="T23" s="2"/>
    </row>
    <row r="24" spans="1:20" ht="13.5" customHeight="1" x14ac:dyDescent="0.35">
      <c r="A24" s="1"/>
      <c r="B24" s="7" t="s">
        <v>23</v>
      </c>
      <c r="C24" s="7"/>
      <c r="D24" s="19">
        <v>530000</v>
      </c>
      <c r="E24" s="19">
        <f t="shared" ref="E24:Q24" si="21">D24+(E3-E4)*(-E7)</f>
        <v>942772</v>
      </c>
      <c r="F24" s="19">
        <f t="shared" si="21"/>
        <v>906772</v>
      </c>
      <c r="G24" s="19">
        <f t="shared" si="21"/>
        <v>726772</v>
      </c>
      <c r="H24" s="19">
        <f t="shared" si="21"/>
        <v>474772</v>
      </c>
      <c r="I24" s="19">
        <f t="shared" si="21"/>
        <v>444532</v>
      </c>
      <c r="J24" s="19">
        <f t="shared" si="21"/>
        <v>444532</v>
      </c>
      <c r="K24" s="19">
        <f t="shared" si="21"/>
        <v>444532.00000000012</v>
      </c>
      <c r="L24" s="19">
        <f t="shared" si="21"/>
        <v>444532.00000000023</v>
      </c>
      <c r="M24" s="19">
        <f t="shared" si="21"/>
        <v>444532.00000000035</v>
      </c>
      <c r="N24" s="19">
        <f t="shared" si="21"/>
        <v>444532.00000000047</v>
      </c>
      <c r="O24" s="19">
        <f t="shared" si="21"/>
        <v>444532.00000000058</v>
      </c>
      <c r="P24" s="19">
        <f t="shared" si="21"/>
        <v>444532.0000000007</v>
      </c>
      <c r="Q24" s="19">
        <f t="shared" si="21"/>
        <v>444531.99999999971</v>
      </c>
      <c r="R24" s="1"/>
      <c r="S24" s="1"/>
      <c r="T24" s="2"/>
    </row>
    <row r="25" spans="1:20" x14ac:dyDescent="0.35">
      <c r="A25" s="1"/>
      <c r="B25" s="7" t="s">
        <v>24</v>
      </c>
      <c r="C25" s="7"/>
      <c r="D25" s="3">
        <f t="shared" ref="D25:Q25" si="22">SUM(D22:D24)</f>
        <v>830000</v>
      </c>
      <c r="E25" s="3">
        <f t="shared" si="22"/>
        <v>1189000</v>
      </c>
      <c r="F25" s="3">
        <f t="shared" si="22"/>
        <v>1103772</v>
      </c>
      <c r="G25" s="3">
        <f t="shared" si="22"/>
        <v>961772</v>
      </c>
      <c r="H25" s="3">
        <f t="shared" si="22"/>
        <v>743272</v>
      </c>
      <c r="I25" s="3">
        <f t="shared" si="22"/>
        <v>723410.5</v>
      </c>
      <c r="J25" s="3">
        <f t="shared" si="22"/>
        <v>734941.0135</v>
      </c>
      <c r="K25" s="3">
        <f t="shared" si="22"/>
        <v>902975.63166737219</v>
      </c>
      <c r="L25" s="3">
        <f t="shared" si="22"/>
        <v>1099972.4505527723</v>
      </c>
      <c r="M25" s="3">
        <f t="shared" si="22"/>
        <v>1300617.9324207525</v>
      </c>
      <c r="N25" s="3">
        <f t="shared" si="22"/>
        <v>1504105.0086023184</v>
      </c>
      <c r="O25" s="3">
        <f t="shared" si="22"/>
        <v>1710394.9655533917</v>
      </c>
      <c r="P25" s="3">
        <f t="shared" si="22"/>
        <v>1919451.9090574479</v>
      </c>
      <c r="Q25" s="3">
        <f t="shared" si="22"/>
        <v>2131242.5589069868</v>
      </c>
      <c r="R25" s="1"/>
      <c r="S25" s="1"/>
      <c r="T25" s="2"/>
    </row>
    <row r="26" spans="1:20" ht="13.5" customHeight="1" x14ac:dyDescent="0.35">
      <c r="A26" s="1"/>
      <c r="B26" s="7" t="s">
        <v>25</v>
      </c>
      <c r="C26" s="7"/>
      <c r="D26" s="19">
        <v>1470000</v>
      </c>
      <c r="E26" s="3">
        <f t="shared" ref="E26:Q26" si="23">D26+E40-E43</f>
        <v>1483000</v>
      </c>
      <c r="F26" s="3">
        <f t="shared" si="23"/>
        <v>1490000</v>
      </c>
      <c r="G26" s="3">
        <f t="shared" si="23"/>
        <v>1501490.2225219151</v>
      </c>
      <c r="H26" s="3">
        <f t="shared" si="23"/>
        <v>1512143.6655209935</v>
      </c>
      <c r="I26" s="3">
        <f t="shared" si="23"/>
        <v>1522021.2677622158</v>
      </c>
      <c r="J26" s="3">
        <f t="shared" si="23"/>
        <v>1531179.5301234301</v>
      </c>
      <c r="K26" s="3">
        <f t="shared" si="23"/>
        <v>1539670.8387860528</v>
      </c>
      <c r="L26" s="3">
        <f t="shared" si="23"/>
        <v>1547543.7648892938</v>
      </c>
      <c r="M26" s="3">
        <f t="shared" si="23"/>
        <v>1554843.342361955</v>
      </c>
      <c r="N26" s="3">
        <f t="shared" si="23"/>
        <v>1561611.3255210305</v>
      </c>
      <c r="O26" s="3">
        <f t="shared" si="23"/>
        <v>1567886.427910598</v>
      </c>
      <c r="P26" s="3">
        <f t="shared" si="23"/>
        <v>1573704.5437471829</v>
      </c>
      <c r="Q26" s="3">
        <f t="shared" si="23"/>
        <v>1579098.9532382849</v>
      </c>
      <c r="R26" s="1"/>
      <c r="S26" s="1"/>
      <c r="T26" s="2"/>
    </row>
    <row r="27" spans="1:20" ht="13.9" x14ac:dyDescent="0.4">
      <c r="A27" s="1"/>
      <c r="B27" s="22" t="s">
        <v>26</v>
      </c>
      <c r="C27" s="22"/>
      <c r="D27" s="23">
        <f t="shared" ref="D27:Q27" si="24">D25+D26</f>
        <v>2300000</v>
      </c>
      <c r="E27" s="23">
        <f t="shared" si="24"/>
        <v>2672000</v>
      </c>
      <c r="F27" s="23">
        <f t="shared" si="24"/>
        <v>2593772</v>
      </c>
      <c r="G27" s="23">
        <f t="shared" si="24"/>
        <v>2463262.2225219151</v>
      </c>
      <c r="H27" s="23">
        <f t="shared" si="24"/>
        <v>2255415.6655209935</v>
      </c>
      <c r="I27" s="23">
        <f t="shared" si="24"/>
        <v>2245431.7677622158</v>
      </c>
      <c r="J27" s="23">
        <f t="shared" si="24"/>
        <v>2266120.5436234302</v>
      </c>
      <c r="K27" s="23">
        <f t="shared" si="24"/>
        <v>2442646.4704534248</v>
      </c>
      <c r="L27" s="23">
        <f t="shared" si="24"/>
        <v>2647516.2154420661</v>
      </c>
      <c r="M27" s="23">
        <f t="shared" si="24"/>
        <v>2855461.2747827074</v>
      </c>
      <c r="N27" s="23">
        <f t="shared" si="24"/>
        <v>3065716.3341233488</v>
      </c>
      <c r="O27" s="23">
        <f t="shared" si="24"/>
        <v>3278281.3934639897</v>
      </c>
      <c r="P27" s="23">
        <f t="shared" si="24"/>
        <v>3493156.4528046306</v>
      </c>
      <c r="Q27" s="23">
        <f t="shared" si="24"/>
        <v>3710341.5121452715</v>
      </c>
      <c r="R27" s="1"/>
      <c r="S27" s="1"/>
      <c r="T27" s="2"/>
    </row>
    <row r="28" spans="1:20" ht="13.5" customHeight="1" x14ac:dyDescent="0.35">
      <c r="A28" s="1"/>
      <c r="B28" s="7" t="s">
        <v>27</v>
      </c>
      <c r="C28" s="7"/>
      <c r="D28" s="19">
        <v>60000</v>
      </c>
      <c r="E28" s="19">
        <v>62000</v>
      </c>
      <c r="F28" s="19">
        <v>36000</v>
      </c>
      <c r="G28" s="19">
        <f t="shared" ref="G28:Q28" si="25">-G3*G7/12</f>
        <v>45000</v>
      </c>
      <c r="H28" s="19">
        <f t="shared" si="25"/>
        <v>45000</v>
      </c>
      <c r="I28" s="19">
        <f t="shared" si="25"/>
        <v>62013.333333333336</v>
      </c>
      <c r="J28" s="19">
        <f t="shared" si="25"/>
        <v>70276.800000000003</v>
      </c>
      <c r="K28" s="19">
        <f t="shared" si="25"/>
        <v>76531.435200000022</v>
      </c>
      <c r="L28" s="19">
        <f t="shared" si="25"/>
        <v>75766.12084800002</v>
      </c>
      <c r="M28" s="19">
        <f t="shared" si="25"/>
        <v>75766.12084800002</v>
      </c>
      <c r="N28" s="19">
        <f t="shared" si="25"/>
        <v>75766.12084800002</v>
      </c>
      <c r="O28" s="19">
        <f t="shared" si="25"/>
        <v>75766.12084800002</v>
      </c>
      <c r="P28" s="19">
        <f t="shared" si="25"/>
        <v>75766.12084800002</v>
      </c>
      <c r="Q28" s="19">
        <f t="shared" si="25"/>
        <v>75766.120847999919</v>
      </c>
      <c r="R28" s="1"/>
      <c r="S28" s="1"/>
      <c r="T28" s="2"/>
    </row>
    <row r="29" spans="1:20" ht="13.5" customHeight="1" x14ac:dyDescent="0.35">
      <c r="A29" s="1"/>
      <c r="B29" s="7" t="s">
        <v>28</v>
      </c>
      <c r="C29" s="7"/>
      <c r="D29" s="19">
        <v>55000</v>
      </c>
      <c r="E29" s="3">
        <f t="shared" ref="E29:Q29" si="26">MAX(D29+$T$7-((E42+E43+(E30+E32)-(D30+D32))+D22),0)</f>
        <v>0</v>
      </c>
      <c r="F29" s="3">
        <f t="shared" si="26"/>
        <v>109772</v>
      </c>
      <c r="G29" s="3">
        <f t="shared" si="26"/>
        <v>508377.27052191505</v>
      </c>
      <c r="H29" s="3">
        <f t="shared" si="26"/>
        <v>278367.81366654695</v>
      </c>
      <c r="I29" s="3">
        <f t="shared" si="26"/>
        <v>148264.58687244379</v>
      </c>
      <c r="J29" s="3">
        <f t="shared" si="26"/>
        <v>18027.302413410041</v>
      </c>
      <c r="K29" s="3">
        <f t="shared" si="26"/>
        <v>0</v>
      </c>
      <c r="L29" s="3">
        <f t="shared" si="26"/>
        <v>0</v>
      </c>
      <c r="M29" s="3">
        <f t="shared" si="26"/>
        <v>0</v>
      </c>
      <c r="N29" s="3">
        <f t="shared" si="26"/>
        <v>0</v>
      </c>
      <c r="O29" s="3">
        <f t="shared" si="26"/>
        <v>0</v>
      </c>
      <c r="P29" s="3">
        <f t="shared" si="26"/>
        <v>0</v>
      </c>
      <c r="Q29" s="3">
        <f t="shared" si="26"/>
        <v>0</v>
      </c>
      <c r="R29" s="1"/>
      <c r="S29" s="1"/>
      <c r="T29" s="2"/>
    </row>
    <row r="30" spans="1:20" ht="13.5" customHeight="1" x14ac:dyDescent="0.35">
      <c r="A30" s="1"/>
      <c r="B30" s="7" t="s">
        <v>29</v>
      </c>
      <c r="C30" s="7"/>
      <c r="D30" s="19">
        <v>50000</v>
      </c>
      <c r="E30" s="19">
        <v>300000</v>
      </c>
      <c r="F30" s="19">
        <v>200000</v>
      </c>
      <c r="G30" s="19">
        <v>50000</v>
      </c>
      <c r="H30" s="19">
        <f t="shared" ref="H30:Q30" si="27">MIN(G30,G32)</f>
        <v>50000</v>
      </c>
      <c r="I30" s="19">
        <f t="shared" si="27"/>
        <v>50000</v>
      </c>
      <c r="J30" s="19">
        <f t="shared" si="27"/>
        <v>50000</v>
      </c>
      <c r="K30" s="19">
        <f t="shared" si="27"/>
        <v>50000</v>
      </c>
      <c r="L30" s="19">
        <f t="shared" si="27"/>
        <v>50000</v>
      </c>
      <c r="M30" s="19">
        <f t="shared" si="27"/>
        <v>50000</v>
      </c>
      <c r="N30" s="19">
        <f t="shared" si="27"/>
        <v>50000</v>
      </c>
      <c r="O30" s="19">
        <f t="shared" si="27"/>
        <v>50000</v>
      </c>
      <c r="P30" s="19">
        <f t="shared" si="27"/>
        <v>50000</v>
      </c>
      <c r="Q30" s="19">
        <f t="shared" si="27"/>
        <v>50000</v>
      </c>
      <c r="R30" s="1"/>
      <c r="S30" s="1"/>
      <c r="T30" s="2"/>
    </row>
    <row r="31" spans="1:20" x14ac:dyDescent="0.35">
      <c r="A31" s="1"/>
      <c r="B31" s="7" t="s">
        <v>30</v>
      </c>
      <c r="C31" s="7"/>
      <c r="D31" s="3">
        <f t="shared" ref="D31:Q31" si="28">SUM(D28:D29,D30)</f>
        <v>165000</v>
      </c>
      <c r="E31" s="3">
        <f t="shared" si="28"/>
        <v>362000</v>
      </c>
      <c r="F31" s="3">
        <f t="shared" si="28"/>
        <v>345772</v>
      </c>
      <c r="G31" s="3">
        <f t="shared" si="28"/>
        <v>603377.27052191505</v>
      </c>
      <c r="H31" s="3">
        <f t="shared" si="28"/>
        <v>373367.81366654695</v>
      </c>
      <c r="I31" s="3">
        <f t="shared" si="28"/>
        <v>260277.92020577713</v>
      </c>
      <c r="J31" s="3">
        <f t="shared" si="28"/>
        <v>138304.10241341003</v>
      </c>
      <c r="K31" s="3">
        <f t="shared" si="28"/>
        <v>126531.43520000002</v>
      </c>
      <c r="L31" s="3">
        <f t="shared" si="28"/>
        <v>125766.12084800002</v>
      </c>
      <c r="M31" s="3">
        <f t="shared" si="28"/>
        <v>125766.12084800002</v>
      </c>
      <c r="N31" s="3">
        <f t="shared" si="28"/>
        <v>125766.12084800002</v>
      </c>
      <c r="O31" s="3">
        <f t="shared" si="28"/>
        <v>125766.12084800002</v>
      </c>
      <c r="P31" s="3">
        <f t="shared" si="28"/>
        <v>125766.12084800002</v>
      </c>
      <c r="Q31" s="3">
        <f t="shared" si="28"/>
        <v>125766.12084799992</v>
      </c>
      <c r="R31" s="1"/>
      <c r="S31" s="1"/>
      <c r="T31" s="2"/>
    </row>
    <row r="32" spans="1:20" ht="13.5" customHeight="1" x14ac:dyDescent="0.35">
      <c r="A32" s="1"/>
      <c r="B32" s="7" t="s">
        <v>31</v>
      </c>
      <c r="C32" s="7"/>
      <c r="D32" s="19">
        <v>800000</v>
      </c>
      <c r="E32" s="19">
        <v>1000000</v>
      </c>
      <c r="F32" s="19">
        <v>1200000</v>
      </c>
      <c r="G32" s="19">
        <f t="shared" ref="G32:Q32" si="29">MAX(F32-F30,0)</f>
        <v>1000000</v>
      </c>
      <c r="H32" s="19">
        <f t="shared" si="29"/>
        <v>950000</v>
      </c>
      <c r="I32" s="19">
        <f t="shared" si="29"/>
        <v>900000</v>
      </c>
      <c r="J32" s="19">
        <f t="shared" si="29"/>
        <v>850000</v>
      </c>
      <c r="K32" s="19">
        <f t="shared" si="29"/>
        <v>800000</v>
      </c>
      <c r="L32" s="19">
        <f t="shared" si="29"/>
        <v>750000</v>
      </c>
      <c r="M32" s="19">
        <f t="shared" si="29"/>
        <v>700000</v>
      </c>
      <c r="N32" s="19">
        <f t="shared" si="29"/>
        <v>650000</v>
      </c>
      <c r="O32" s="19">
        <f t="shared" si="29"/>
        <v>600000</v>
      </c>
      <c r="P32" s="19">
        <f t="shared" si="29"/>
        <v>550000</v>
      </c>
      <c r="Q32" s="19">
        <f t="shared" si="29"/>
        <v>500000</v>
      </c>
      <c r="R32" s="1"/>
      <c r="S32" s="1"/>
      <c r="T32" s="2"/>
    </row>
    <row r="33" spans="1:20" ht="13.5" customHeight="1" x14ac:dyDescent="0.35">
      <c r="A33" s="1"/>
      <c r="B33" s="7" t="s">
        <v>32</v>
      </c>
      <c r="C33" s="7"/>
      <c r="D33" s="19">
        <v>1335000</v>
      </c>
      <c r="E33" s="3">
        <f t="shared" ref="E33:Q33" si="30">D33+E17</f>
        <v>1310000</v>
      </c>
      <c r="F33" s="3">
        <f t="shared" si="30"/>
        <v>1048000</v>
      </c>
      <c r="G33" s="3">
        <f t="shared" si="30"/>
        <v>859884.95200000005</v>
      </c>
      <c r="H33" s="3">
        <f t="shared" si="30"/>
        <v>932047.85185444646</v>
      </c>
      <c r="I33" s="3">
        <f t="shared" si="30"/>
        <v>1085153.8475564385</v>
      </c>
      <c r="J33" s="3">
        <f t="shared" si="30"/>
        <v>1277816.4412100199</v>
      </c>
      <c r="K33" s="3">
        <f t="shared" si="30"/>
        <v>1516115.0352534249</v>
      </c>
      <c r="L33" s="3">
        <f t="shared" si="30"/>
        <v>1771750.094594066</v>
      </c>
      <c r="M33" s="3">
        <f t="shared" si="30"/>
        <v>2029695.1539347072</v>
      </c>
      <c r="N33" s="3">
        <f t="shared" si="30"/>
        <v>2289950.2132753483</v>
      </c>
      <c r="O33" s="3">
        <f t="shared" si="30"/>
        <v>2552515.2726159897</v>
      </c>
      <c r="P33" s="3">
        <f t="shared" si="30"/>
        <v>2817390.3319566306</v>
      </c>
      <c r="Q33" s="3">
        <f t="shared" si="30"/>
        <v>3084575.3912972715</v>
      </c>
      <c r="R33" s="1"/>
      <c r="S33" s="1"/>
      <c r="T33" s="2"/>
    </row>
    <row r="34" spans="1:20" ht="13.9" x14ac:dyDescent="0.4">
      <c r="A34" s="1"/>
      <c r="B34" s="22" t="s">
        <v>33</v>
      </c>
      <c r="C34" s="22"/>
      <c r="D34" s="23">
        <f t="shared" ref="D34:Q34" si="31">D33+D32+D31</f>
        <v>2300000</v>
      </c>
      <c r="E34" s="23">
        <f t="shared" si="31"/>
        <v>2672000</v>
      </c>
      <c r="F34" s="23">
        <f t="shared" si="31"/>
        <v>2593772</v>
      </c>
      <c r="G34" s="23">
        <f t="shared" si="31"/>
        <v>2463262.2225219151</v>
      </c>
      <c r="H34" s="23">
        <f t="shared" si="31"/>
        <v>2255415.6655209931</v>
      </c>
      <c r="I34" s="23">
        <f t="shared" si="31"/>
        <v>2245431.7677622158</v>
      </c>
      <c r="J34" s="23">
        <f t="shared" si="31"/>
        <v>2266120.5436234297</v>
      </c>
      <c r="K34" s="23">
        <f t="shared" si="31"/>
        <v>2442646.4704534253</v>
      </c>
      <c r="L34" s="23">
        <f t="shared" si="31"/>
        <v>2647516.2154420661</v>
      </c>
      <c r="M34" s="23">
        <f t="shared" si="31"/>
        <v>2855461.274782707</v>
      </c>
      <c r="N34" s="23">
        <f t="shared" si="31"/>
        <v>3065716.3341233484</v>
      </c>
      <c r="O34" s="23">
        <f t="shared" si="31"/>
        <v>3278281.3934639897</v>
      </c>
      <c r="P34" s="23">
        <f t="shared" si="31"/>
        <v>3493156.4528046306</v>
      </c>
      <c r="Q34" s="23">
        <f t="shared" si="31"/>
        <v>3710341.5121452715</v>
      </c>
      <c r="R34" s="1"/>
      <c r="S34" s="1"/>
      <c r="T34" s="2"/>
    </row>
    <row r="35" spans="1:20" x14ac:dyDescent="0.35">
      <c r="A35" s="1"/>
      <c r="B35" s="9"/>
      <c r="C35" s="9"/>
      <c r="D35" s="10">
        <f t="shared" ref="D35:Q35" si="32">ROUND(D27-D34,0)</f>
        <v>0</v>
      </c>
      <c r="E35" s="10">
        <f t="shared" si="32"/>
        <v>0</v>
      </c>
      <c r="F35" s="10">
        <f t="shared" si="32"/>
        <v>0</v>
      </c>
      <c r="G35" s="10">
        <f t="shared" si="32"/>
        <v>0</v>
      </c>
      <c r="H35" s="10">
        <f t="shared" si="32"/>
        <v>0</v>
      </c>
      <c r="I35" s="10">
        <f t="shared" si="32"/>
        <v>0</v>
      </c>
      <c r="J35" s="10">
        <f t="shared" si="32"/>
        <v>0</v>
      </c>
      <c r="K35" s="10">
        <f t="shared" si="32"/>
        <v>0</v>
      </c>
      <c r="L35" s="10">
        <f t="shared" si="32"/>
        <v>0</v>
      </c>
      <c r="M35" s="10">
        <f t="shared" si="32"/>
        <v>0</v>
      </c>
      <c r="N35" s="10">
        <f t="shared" si="32"/>
        <v>0</v>
      </c>
      <c r="O35" s="10">
        <f t="shared" si="32"/>
        <v>0</v>
      </c>
      <c r="P35" s="10">
        <f t="shared" si="32"/>
        <v>0</v>
      </c>
      <c r="Q35" s="10">
        <f t="shared" si="32"/>
        <v>0</v>
      </c>
      <c r="R35" s="1"/>
      <c r="S35" s="1"/>
      <c r="T35" s="2"/>
    </row>
    <row r="36" spans="1:20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2"/>
    </row>
    <row r="37" spans="1:20" ht="17.649999999999999" x14ac:dyDescent="0.5">
      <c r="A37" s="1"/>
      <c r="B37" s="1"/>
      <c r="C37" s="1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"/>
      <c r="S37" s="1"/>
      <c r="T37" s="2"/>
    </row>
    <row r="38" spans="1:20" ht="13.5" customHeight="1" x14ac:dyDescent="0.4">
      <c r="A38" s="1"/>
      <c r="B38" s="13" t="s">
        <v>34</v>
      </c>
      <c r="C38" s="13"/>
      <c r="D38" s="14">
        <v>2007</v>
      </c>
      <c r="E38" s="14">
        <f t="shared" ref="E38:Q38" si="33">D38+1</f>
        <v>2008</v>
      </c>
      <c r="F38" s="14">
        <f t="shared" si="33"/>
        <v>2009</v>
      </c>
      <c r="G38" s="15">
        <f t="shared" si="33"/>
        <v>2010</v>
      </c>
      <c r="H38" s="15">
        <f t="shared" si="33"/>
        <v>2011</v>
      </c>
      <c r="I38" s="15">
        <f t="shared" si="33"/>
        <v>2012</v>
      </c>
      <c r="J38" s="15">
        <f t="shared" si="33"/>
        <v>2013</v>
      </c>
      <c r="K38" s="15">
        <f t="shared" si="33"/>
        <v>2014</v>
      </c>
      <c r="L38" s="15">
        <f t="shared" si="33"/>
        <v>2015</v>
      </c>
      <c r="M38" s="15">
        <f t="shared" si="33"/>
        <v>2016</v>
      </c>
      <c r="N38" s="15">
        <f t="shared" si="33"/>
        <v>2017</v>
      </c>
      <c r="O38" s="15">
        <f t="shared" si="33"/>
        <v>2018</v>
      </c>
      <c r="P38" s="15">
        <f t="shared" si="33"/>
        <v>2019</v>
      </c>
      <c r="Q38" s="15">
        <f t="shared" si="33"/>
        <v>2020</v>
      </c>
      <c r="R38" s="1"/>
      <c r="S38" s="1"/>
      <c r="T38" s="2"/>
    </row>
    <row r="39" spans="1:20" x14ac:dyDescent="0.35">
      <c r="A39" s="1"/>
      <c r="B39" s="11" t="str">
        <f>B17</f>
        <v>Net Profit</v>
      </c>
      <c r="C39" s="1"/>
      <c r="D39" s="3">
        <f t="shared" ref="D39:Q39" si="34">D17</f>
        <v>185170.25999999998</v>
      </c>
      <c r="E39" s="3">
        <f t="shared" si="34"/>
        <v>-25000</v>
      </c>
      <c r="F39" s="3">
        <f t="shared" si="34"/>
        <v>-262000</v>
      </c>
      <c r="G39" s="3">
        <f t="shared" si="34"/>
        <v>-188115.04800000001</v>
      </c>
      <c r="H39" s="3">
        <f t="shared" si="34"/>
        <v>72162.899854446383</v>
      </c>
      <c r="I39" s="3">
        <f t="shared" si="34"/>
        <v>153105.9957019921</v>
      </c>
      <c r="J39" s="3">
        <f t="shared" si="34"/>
        <v>192662.59365358131</v>
      </c>
      <c r="K39" s="3">
        <f t="shared" si="34"/>
        <v>238298.59404340497</v>
      </c>
      <c r="L39" s="3">
        <f t="shared" si="34"/>
        <v>255635.05934064116</v>
      </c>
      <c r="M39" s="3">
        <f t="shared" si="34"/>
        <v>257945.05934064116</v>
      </c>
      <c r="N39" s="3">
        <f t="shared" si="34"/>
        <v>260255.05934064116</v>
      </c>
      <c r="O39" s="3">
        <f t="shared" si="34"/>
        <v>262565.05934064114</v>
      </c>
      <c r="P39" s="3">
        <f t="shared" si="34"/>
        <v>264875.05934064114</v>
      </c>
      <c r="Q39" s="3">
        <f t="shared" si="34"/>
        <v>267185.05934064114</v>
      </c>
      <c r="R39" s="1"/>
      <c r="S39" s="1"/>
      <c r="T39" s="2"/>
    </row>
    <row r="40" spans="1:20" x14ac:dyDescent="0.35">
      <c r="A40" s="1"/>
      <c r="B40" s="1" t="s">
        <v>35</v>
      </c>
      <c r="C40" s="1"/>
      <c r="D40" s="3">
        <f t="shared" ref="D40:Q40" si="35">D11</f>
        <v>-106000</v>
      </c>
      <c r="E40" s="3">
        <f t="shared" si="35"/>
        <v>-107000</v>
      </c>
      <c r="F40" s="3">
        <f t="shared" si="35"/>
        <v>-108000</v>
      </c>
      <c r="G40" s="3">
        <f t="shared" si="35"/>
        <v>-108509.77747808496</v>
      </c>
      <c r="H40" s="3">
        <f t="shared" si="35"/>
        <v>-109346.55700092165</v>
      </c>
      <c r="I40" s="3">
        <f t="shared" si="35"/>
        <v>-110122.39775877766</v>
      </c>
      <c r="J40" s="3">
        <f t="shared" si="35"/>
        <v>-110841.73763878577</v>
      </c>
      <c r="K40" s="3">
        <f t="shared" si="35"/>
        <v>-111508.69133737723</v>
      </c>
      <c r="L40" s="3">
        <f t="shared" si="35"/>
        <v>-112127.07389675904</v>
      </c>
      <c r="M40" s="3">
        <f t="shared" si="35"/>
        <v>-112700.42252733896</v>
      </c>
      <c r="N40" s="3">
        <f t="shared" si="35"/>
        <v>-113232.01684092452</v>
      </c>
      <c r="O40" s="3">
        <f t="shared" si="35"/>
        <v>-113724.89761043238</v>
      </c>
      <c r="P40" s="3">
        <f t="shared" si="35"/>
        <v>-114181.88416341506</v>
      </c>
      <c r="Q40" s="3">
        <f t="shared" si="35"/>
        <v>-114605.59050889798</v>
      </c>
      <c r="R40" s="1"/>
      <c r="S40" s="1"/>
      <c r="T40" s="2"/>
    </row>
    <row r="41" spans="1:20" ht="13.5" customHeight="1" x14ac:dyDescent="0.35">
      <c r="A41" s="1"/>
      <c r="B41" s="1" t="s">
        <v>36</v>
      </c>
      <c r="C41" s="1"/>
      <c r="D41" s="19">
        <v>-35000</v>
      </c>
      <c r="E41" s="3">
        <f t="shared" ref="E41:Q41" si="36">-((E23+E24-E28)-(D23+D24-D28))</f>
        <v>-353772</v>
      </c>
      <c r="F41" s="3">
        <f t="shared" si="36"/>
        <v>31000</v>
      </c>
      <c r="G41" s="3">
        <f t="shared" si="36"/>
        <v>151000</v>
      </c>
      <c r="H41" s="3">
        <f t="shared" si="36"/>
        <v>218500</v>
      </c>
      <c r="I41" s="3">
        <f t="shared" si="36"/>
        <v>36874.833333333314</v>
      </c>
      <c r="J41" s="3">
        <f t="shared" si="36"/>
        <v>-3267.0468333333265</v>
      </c>
      <c r="K41" s="3">
        <f t="shared" si="36"/>
        <v>-6555.765298500075</v>
      </c>
      <c r="L41" s="3">
        <f t="shared" si="36"/>
        <v>-2047.5084919850924</v>
      </c>
      <c r="M41" s="3">
        <f t="shared" si="36"/>
        <v>-1.1641532182693481E-10</v>
      </c>
      <c r="N41" s="3">
        <f t="shared" si="36"/>
        <v>-1.1641532182693481E-10</v>
      </c>
      <c r="O41" s="3">
        <f t="shared" si="36"/>
        <v>-1.1641532182693481E-10</v>
      </c>
      <c r="P41" s="3">
        <f t="shared" si="36"/>
        <v>-1.1641532182693481E-10</v>
      </c>
      <c r="Q41" s="3">
        <f t="shared" si="36"/>
        <v>9.3132257461547852E-10</v>
      </c>
      <c r="R41" s="1"/>
      <c r="S41" s="1"/>
      <c r="T41" s="2"/>
    </row>
    <row r="42" spans="1:20" x14ac:dyDescent="0.35">
      <c r="A42" s="1"/>
      <c r="B42" s="1" t="s">
        <v>37</v>
      </c>
      <c r="C42" s="1"/>
      <c r="D42" s="3">
        <f t="shared" ref="D42:Q42" si="37">D39-D40+D41</f>
        <v>256170.26</v>
      </c>
      <c r="E42" s="3">
        <f t="shared" si="37"/>
        <v>-271772</v>
      </c>
      <c r="F42" s="3">
        <f t="shared" si="37"/>
        <v>-123000</v>
      </c>
      <c r="G42" s="3">
        <f t="shared" si="37"/>
        <v>71394.729478084948</v>
      </c>
      <c r="H42" s="3">
        <f t="shared" si="37"/>
        <v>400009.45685536804</v>
      </c>
      <c r="I42" s="3">
        <f t="shared" si="37"/>
        <v>300103.2267941031</v>
      </c>
      <c r="J42" s="3">
        <f t="shared" si="37"/>
        <v>300237.28445903375</v>
      </c>
      <c r="K42" s="3">
        <f t="shared" si="37"/>
        <v>343251.52008228214</v>
      </c>
      <c r="L42" s="3">
        <f t="shared" si="37"/>
        <v>365714.62474541512</v>
      </c>
      <c r="M42" s="3">
        <f t="shared" si="37"/>
        <v>370645.48186797998</v>
      </c>
      <c r="N42" s="3">
        <f t="shared" si="37"/>
        <v>373487.07618156559</v>
      </c>
      <c r="O42" s="3">
        <f t="shared" si="37"/>
        <v>376289.95695107337</v>
      </c>
      <c r="P42" s="3">
        <f t="shared" si="37"/>
        <v>379056.94350405608</v>
      </c>
      <c r="Q42" s="3">
        <f t="shared" si="37"/>
        <v>381790.64984954003</v>
      </c>
      <c r="R42" s="1"/>
      <c r="S42" s="1"/>
      <c r="T42" s="2"/>
    </row>
    <row r="43" spans="1:20" ht="13.5" customHeight="1" x14ac:dyDescent="0.35">
      <c r="A43" s="1"/>
      <c r="B43" s="1" t="s">
        <v>38</v>
      </c>
      <c r="C43" s="1"/>
      <c r="D43" s="19">
        <v>-110000</v>
      </c>
      <c r="E43" s="19">
        <v>-120000</v>
      </c>
      <c r="F43" s="19">
        <v>-115000</v>
      </c>
      <c r="G43" s="19">
        <v>-120000</v>
      </c>
      <c r="H43" s="19">
        <f t="shared" ref="H43:Q43" si="38">G43</f>
        <v>-120000</v>
      </c>
      <c r="I43" s="19">
        <f t="shared" si="38"/>
        <v>-120000</v>
      </c>
      <c r="J43" s="19">
        <f t="shared" si="38"/>
        <v>-120000</v>
      </c>
      <c r="K43" s="19">
        <f t="shared" si="38"/>
        <v>-120000</v>
      </c>
      <c r="L43" s="19">
        <f t="shared" si="38"/>
        <v>-120000</v>
      </c>
      <c r="M43" s="19">
        <f t="shared" si="38"/>
        <v>-120000</v>
      </c>
      <c r="N43" s="19">
        <f t="shared" si="38"/>
        <v>-120000</v>
      </c>
      <c r="O43" s="19">
        <f t="shared" si="38"/>
        <v>-120000</v>
      </c>
      <c r="P43" s="19">
        <f t="shared" si="38"/>
        <v>-120000</v>
      </c>
      <c r="Q43" s="19">
        <f t="shared" si="38"/>
        <v>-120000</v>
      </c>
      <c r="R43" s="1"/>
      <c r="S43" s="1"/>
      <c r="T43" s="2"/>
    </row>
    <row r="44" spans="1:20" ht="13.5" customHeight="1" x14ac:dyDescent="0.35">
      <c r="A44" s="1"/>
      <c r="B44" s="1" t="s">
        <v>39</v>
      </c>
      <c r="C44" s="1"/>
      <c r="D44" s="19">
        <v>-52000</v>
      </c>
      <c r="E44" s="3">
        <f t="shared" ref="E44:Q44" si="39">(E29+E30+E32)-(D29+D30+D32)</f>
        <v>395000</v>
      </c>
      <c r="F44" s="3">
        <f t="shared" si="39"/>
        <v>209772</v>
      </c>
      <c r="G44" s="3">
        <f t="shared" si="39"/>
        <v>48605.270521915052</v>
      </c>
      <c r="H44" s="3">
        <f t="shared" si="39"/>
        <v>-280009.4568553681</v>
      </c>
      <c r="I44" s="3">
        <f t="shared" si="39"/>
        <v>-180103.22679410316</v>
      </c>
      <c r="J44" s="3">
        <f t="shared" si="39"/>
        <v>-180237.28445903375</v>
      </c>
      <c r="K44" s="3">
        <f t="shared" si="39"/>
        <v>-68027.302413410041</v>
      </c>
      <c r="L44" s="3">
        <f t="shared" si="39"/>
        <v>-50000</v>
      </c>
      <c r="M44" s="3">
        <f t="shared" si="39"/>
        <v>-50000</v>
      </c>
      <c r="N44" s="3">
        <f t="shared" si="39"/>
        <v>-50000</v>
      </c>
      <c r="O44" s="3">
        <f t="shared" si="39"/>
        <v>-50000</v>
      </c>
      <c r="P44" s="3">
        <f t="shared" si="39"/>
        <v>-50000</v>
      </c>
      <c r="Q44" s="3">
        <f t="shared" si="39"/>
        <v>-50000</v>
      </c>
      <c r="R44" s="1"/>
      <c r="S44" s="1"/>
      <c r="T44" s="2"/>
    </row>
    <row r="45" spans="1:20" ht="13.9" x14ac:dyDescent="0.35">
      <c r="A45" s="1"/>
      <c r="B45" s="24" t="s">
        <v>40</v>
      </c>
      <c r="C45" s="24"/>
      <c r="D45" s="23">
        <f t="shared" ref="D45:Q45" si="40">D42+D43+D44</f>
        <v>94170.260000000009</v>
      </c>
      <c r="E45" s="23">
        <f t="shared" si="40"/>
        <v>3228</v>
      </c>
      <c r="F45" s="23">
        <f t="shared" si="40"/>
        <v>-28228</v>
      </c>
      <c r="G45" s="23">
        <f t="shared" si="40"/>
        <v>0</v>
      </c>
      <c r="H45" s="23">
        <f t="shared" si="40"/>
        <v>0</v>
      </c>
      <c r="I45" s="23">
        <f t="shared" si="40"/>
        <v>0</v>
      </c>
      <c r="J45" s="23">
        <f t="shared" si="40"/>
        <v>0</v>
      </c>
      <c r="K45" s="23">
        <f t="shared" si="40"/>
        <v>155224.21766887209</v>
      </c>
      <c r="L45" s="23">
        <f t="shared" si="40"/>
        <v>195714.62474541512</v>
      </c>
      <c r="M45" s="23">
        <f t="shared" si="40"/>
        <v>200645.48186797998</v>
      </c>
      <c r="N45" s="23">
        <f t="shared" si="40"/>
        <v>203487.07618156559</v>
      </c>
      <c r="O45" s="23">
        <f t="shared" si="40"/>
        <v>206289.95695107337</v>
      </c>
      <c r="P45" s="23">
        <f t="shared" si="40"/>
        <v>209056.94350405608</v>
      </c>
      <c r="Q45" s="23">
        <f t="shared" si="40"/>
        <v>211790.64984954003</v>
      </c>
      <c r="R45" s="1"/>
      <c r="S45" s="1"/>
      <c r="T45" s="2"/>
    </row>
    <row r="46" spans="1:20" x14ac:dyDescent="0.35">
      <c r="A46" s="1"/>
      <c r="B46" s="1" t="s">
        <v>41</v>
      </c>
      <c r="C46" s="1"/>
      <c r="D46" s="8">
        <f>D22</f>
        <v>200000</v>
      </c>
      <c r="E46" s="3">
        <f t="shared" ref="E46:Q46" si="41">D22+E45</f>
        <v>203228</v>
      </c>
      <c r="F46" s="3">
        <f t="shared" si="41"/>
        <v>175000</v>
      </c>
      <c r="G46" s="3">
        <f t="shared" si="41"/>
        <v>175000</v>
      </c>
      <c r="H46" s="3">
        <f t="shared" si="41"/>
        <v>175000</v>
      </c>
      <c r="I46" s="3">
        <f t="shared" si="41"/>
        <v>175000</v>
      </c>
      <c r="J46" s="3">
        <f t="shared" si="41"/>
        <v>175000</v>
      </c>
      <c r="K46" s="3">
        <f t="shared" si="41"/>
        <v>330224.21766887209</v>
      </c>
      <c r="L46" s="3">
        <f t="shared" si="41"/>
        <v>525938.84241428715</v>
      </c>
      <c r="M46" s="3">
        <f t="shared" si="41"/>
        <v>726584.32428226713</v>
      </c>
      <c r="N46" s="3">
        <f t="shared" si="41"/>
        <v>930071.40046383278</v>
      </c>
      <c r="O46" s="3">
        <f t="shared" si="41"/>
        <v>1136361.3574149061</v>
      </c>
      <c r="P46" s="3">
        <f t="shared" si="41"/>
        <v>1345418.3009189623</v>
      </c>
      <c r="Q46" s="3">
        <f t="shared" si="41"/>
        <v>1557208.9507685024</v>
      </c>
      <c r="R46" s="1"/>
      <c r="S46" s="1"/>
      <c r="T46" s="2"/>
    </row>
    <row r="47" spans="1:20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2"/>
    </row>
  </sheetData>
  <mergeCells count="1">
    <mergeCell ref="S2:T2"/>
  </mergeCells>
  <pageMargins left="0.25" right="0.25" top="0.75" bottom="0.75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25"/>
  <sheetViews>
    <sheetView showGridLines="0" zoomScale="85" zoomScaleNormal="85" workbookViewId="0"/>
  </sheetViews>
  <sheetFormatPr defaultColWidth="9" defaultRowHeight="13.5" x14ac:dyDescent="0.35"/>
  <cols>
    <col min="1" max="1" width="2.125" customWidth="1"/>
    <col min="2" max="2" width="20.6875" bestFit="1" customWidth="1"/>
    <col min="3" max="3" width="2.125" customWidth="1"/>
    <col min="19" max="19" width="18.1875" bestFit="1" customWidth="1"/>
  </cols>
  <sheetData>
    <row r="1" spans="1:20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13.5" customHeight="1" x14ac:dyDescent="0.4">
      <c r="A2" s="1"/>
      <c r="B2" s="13" t="s">
        <v>42</v>
      </c>
      <c r="C2" s="13"/>
      <c r="D2" s="14">
        <v>2007</v>
      </c>
      <c r="E2" s="14">
        <f t="shared" ref="E2:Q2" si="0">D2+1</f>
        <v>2008</v>
      </c>
      <c r="F2" s="14">
        <f t="shared" si="0"/>
        <v>2009</v>
      </c>
      <c r="G2" s="15">
        <f t="shared" si="0"/>
        <v>2010</v>
      </c>
      <c r="H2" s="15">
        <f t="shared" si="0"/>
        <v>2011</v>
      </c>
      <c r="I2" s="15">
        <f t="shared" si="0"/>
        <v>2012</v>
      </c>
      <c r="J2" s="15">
        <f t="shared" si="0"/>
        <v>2013</v>
      </c>
      <c r="K2" s="15">
        <f t="shared" si="0"/>
        <v>2014</v>
      </c>
      <c r="L2" s="15">
        <f t="shared" si="0"/>
        <v>2015</v>
      </c>
      <c r="M2" s="15">
        <f t="shared" si="0"/>
        <v>2016</v>
      </c>
      <c r="N2" s="15">
        <f t="shared" si="0"/>
        <v>2017</v>
      </c>
      <c r="O2" s="15">
        <f t="shared" si="0"/>
        <v>2018</v>
      </c>
      <c r="P2" s="15">
        <f t="shared" si="0"/>
        <v>2019</v>
      </c>
      <c r="Q2" s="15">
        <f t="shared" si="0"/>
        <v>2020</v>
      </c>
      <c r="R2" s="1"/>
      <c r="S2" s="138" t="s">
        <v>1</v>
      </c>
      <c r="T2" s="139"/>
    </row>
    <row r="3" spans="1:20" ht="13.5" customHeight="1" x14ac:dyDescent="0.35">
      <c r="A3" s="1"/>
      <c r="B3" s="1" t="s">
        <v>2</v>
      </c>
      <c r="C3" s="1"/>
      <c r="D3" s="16">
        <v>5465</v>
      </c>
      <c r="E3" s="16">
        <v>5789</v>
      </c>
      <c r="F3" s="16">
        <v>3000</v>
      </c>
      <c r="G3" s="16">
        <f t="shared" ref="G3:Q3" si="1">MAX(SUM($D4:G4)-SUM($D3:F3),3000)</f>
        <v>3000</v>
      </c>
      <c r="H3" s="16">
        <f t="shared" si="1"/>
        <v>3000</v>
      </c>
      <c r="I3" s="16">
        <f t="shared" si="1"/>
        <v>4651</v>
      </c>
      <c r="J3" s="16">
        <f t="shared" si="1"/>
        <v>5324</v>
      </c>
      <c r="K3" s="16">
        <f t="shared" si="1"/>
        <v>5856.4000000000015</v>
      </c>
      <c r="L3" s="16">
        <f t="shared" si="1"/>
        <v>5856.4000000000015</v>
      </c>
      <c r="M3" s="16">
        <f t="shared" si="1"/>
        <v>5856.4000000000015</v>
      </c>
      <c r="N3" s="16">
        <f t="shared" si="1"/>
        <v>5856.4000000000015</v>
      </c>
      <c r="O3" s="16">
        <f t="shared" si="1"/>
        <v>5856.4000000000015</v>
      </c>
      <c r="P3" s="16">
        <f t="shared" si="1"/>
        <v>5856.4000000000015</v>
      </c>
      <c r="Q3" s="16">
        <f t="shared" si="1"/>
        <v>5856.3999999999942</v>
      </c>
      <c r="R3" s="1"/>
      <c r="S3" s="1"/>
      <c r="T3" s="2"/>
    </row>
    <row r="4" spans="1:20" ht="13.5" customHeight="1" x14ac:dyDescent="0.35">
      <c r="A4" s="1"/>
      <c r="B4" s="1" t="s">
        <v>3</v>
      </c>
      <c r="C4" s="1"/>
      <c r="D4" s="16">
        <v>5465</v>
      </c>
      <c r="E4" s="16">
        <v>3000</v>
      </c>
      <c r="F4" s="16">
        <v>3200</v>
      </c>
      <c r="G4" s="16">
        <v>4000</v>
      </c>
      <c r="H4" s="16">
        <f t="shared" ref="H4:K4" si="2">G4*1.1</f>
        <v>4400</v>
      </c>
      <c r="I4" s="16">
        <f t="shared" si="2"/>
        <v>4840</v>
      </c>
      <c r="J4" s="16">
        <f t="shared" si="2"/>
        <v>5324</v>
      </c>
      <c r="K4" s="16">
        <f t="shared" si="2"/>
        <v>5856.4000000000005</v>
      </c>
      <c r="L4" s="16">
        <f t="shared" ref="L4:Q5" si="3">K4</f>
        <v>5856.4000000000005</v>
      </c>
      <c r="M4" s="16">
        <f t="shared" si="3"/>
        <v>5856.4000000000005</v>
      </c>
      <c r="N4" s="16">
        <f t="shared" si="3"/>
        <v>5856.4000000000005</v>
      </c>
      <c r="O4" s="16">
        <f t="shared" si="3"/>
        <v>5856.4000000000005</v>
      </c>
      <c r="P4" s="16">
        <f t="shared" si="3"/>
        <v>5856.4000000000005</v>
      </c>
      <c r="Q4" s="16">
        <f t="shared" si="3"/>
        <v>5856.4000000000005</v>
      </c>
      <c r="R4" s="1"/>
      <c r="S4" s="1" t="s">
        <v>43</v>
      </c>
      <c r="T4" s="17">
        <v>-0.15</v>
      </c>
    </row>
    <row r="5" spans="1:20" ht="13.5" customHeight="1" x14ac:dyDescent="0.35">
      <c r="A5" s="1"/>
      <c r="B5" s="1" t="s">
        <v>5</v>
      </c>
      <c r="C5" s="1"/>
      <c r="D5" s="16">
        <v>255</v>
      </c>
      <c r="E5" s="16">
        <v>229</v>
      </c>
      <c r="F5" s="16">
        <v>180</v>
      </c>
      <c r="G5" s="16">
        <v>180</v>
      </c>
      <c r="H5" s="16">
        <v>255</v>
      </c>
      <c r="I5" s="16">
        <f t="shared" ref="I5:L5" si="4">H5*1.01</f>
        <v>257.55</v>
      </c>
      <c r="J5" s="16">
        <f t="shared" si="4"/>
        <v>260.12549999999999</v>
      </c>
      <c r="K5" s="16">
        <f t="shared" si="4"/>
        <v>262.72675499999997</v>
      </c>
      <c r="L5" s="16">
        <f t="shared" si="4"/>
        <v>265.35402254999997</v>
      </c>
      <c r="M5" s="16">
        <f t="shared" si="3"/>
        <v>265.35402254999997</v>
      </c>
      <c r="N5" s="16">
        <f t="shared" si="3"/>
        <v>265.35402254999997</v>
      </c>
      <c r="O5" s="16">
        <f t="shared" si="3"/>
        <v>265.35402254999997</v>
      </c>
      <c r="P5" s="16">
        <f t="shared" si="3"/>
        <v>265.35402254999997</v>
      </c>
      <c r="Q5" s="16">
        <f t="shared" si="3"/>
        <v>265.35402254999997</v>
      </c>
      <c r="R5" s="1"/>
      <c r="S5" s="1" t="s">
        <v>8</v>
      </c>
      <c r="T5" s="17">
        <v>-0.34</v>
      </c>
    </row>
    <row r="6" spans="1:20" ht="13.5" customHeight="1" x14ac:dyDescent="0.35">
      <c r="A6" s="1"/>
      <c r="B6" s="1" t="s">
        <v>7</v>
      </c>
      <c r="C6" s="1"/>
      <c r="D6" s="3">
        <f t="shared" ref="D6:Q6" si="5">D$4*D5</f>
        <v>1393575</v>
      </c>
      <c r="E6" s="3">
        <f t="shared" si="5"/>
        <v>687000</v>
      </c>
      <c r="F6" s="3">
        <f t="shared" si="5"/>
        <v>576000</v>
      </c>
      <c r="G6" s="3">
        <f t="shared" si="5"/>
        <v>720000</v>
      </c>
      <c r="H6" s="3">
        <f t="shared" si="5"/>
        <v>1122000</v>
      </c>
      <c r="I6" s="3">
        <f t="shared" si="5"/>
        <v>1246542</v>
      </c>
      <c r="J6" s="3">
        <f t="shared" si="5"/>
        <v>1384908.162</v>
      </c>
      <c r="K6" s="3">
        <f t="shared" si="5"/>
        <v>1538632.967982</v>
      </c>
      <c r="L6" s="3">
        <f t="shared" si="5"/>
        <v>1554019.29766182</v>
      </c>
      <c r="M6" s="3">
        <f t="shared" si="5"/>
        <v>1554019.29766182</v>
      </c>
      <c r="N6" s="3">
        <f t="shared" si="5"/>
        <v>1554019.29766182</v>
      </c>
      <c r="O6" s="3">
        <f t="shared" si="5"/>
        <v>1554019.29766182</v>
      </c>
      <c r="P6" s="3">
        <f t="shared" si="5"/>
        <v>1554019.29766182</v>
      </c>
      <c r="Q6" s="3">
        <f t="shared" si="5"/>
        <v>1554019.29766182</v>
      </c>
      <c r="R6" s="1"/>
      <c r="S6" s="1" t="s">
        <v>44</v>
      </c>
      <c r="T6" s="17">
        <v>0.1</v>
      </c>
    </row>
    <row r="7" spans="1:20" ht="13.5" customHeight="1" x14ac:dyDescent="0.35">
      <c r="A7" s="1"/>
      <c r="B7" s="1" t="s">
        <v>9</v>
      </c>
      <c r="C7" s="1"/>
      <c r="D7" s="16">
        <v>-150</v>
      </c>
      <c r="E7" s="16">
        <v>-148</v>
      </c>
      <c r="F7" s="16">
        <v>-180</v>
      </c>
      <c r="G7" s="16">
        <v>-180</v>
      </c>
      <c r="H7" s="16">
        <v>-180</v>
      </c>
      <c r="I7" s="16">
        <v>-160</v>
      </c>
      <c r="J7" s="16">
        <f t="shared" ref="J7:L7" si="6">I7*0.99</f>
        <v>-158.4</v>
      </c>
      <c r="K7" s="16">
        <f t="shared" si="6"/>
        <v>-156.816</v>
      </c>
      <c r="L7" s="16">
        <f t="shared" si="6"/>
        <v>-155.24784</v>
      </c>
      <c r="M7" s="16">
        <f t="shared" ref="M7:Q7" si="7">L7</f>
        <v>-155.24784</v>
      </c>
      <c r="N7" s="16">
        <f t="shared" si="7"/>
        <v>-155.24784</v>
      </c>
      <c r="O7" s="16">
        <f t="shared" si="7"/>
        <v>-155.24784</v>
      </c>
      <c r="P7" s="16">
        <f t="shared" si="7"/>
        <v>-155.24784</v>
      </c>
      <c r="Q7" s="16">
        <f t="shared" si="7"/>
        <v>-155.24784</v>
      </c>
      <c r="R7" s="1"/>
      <c r="S7" s="1" t="s">
        <v>45</v>
      </c>
      <c r="T7" s="17">
        <v>0.02</v>
      </c>
    </row>
    <row r="8" spans="1:20" x14ac:dyDescent="0.35">
      <c r="A8" s="1"/>
      <c r="B8" s="1" t="s">
        <v>11</v>
      </c>
      <c r="C8" s="1"/>
      <c r="D8" s="3">
        <f t="shared" ref="D8:Q8" si="8">D$4*D7</f>
        <v>-819750</v>
      </c>
      <c r="E8" s="3">
        <f t="shared" si="8"/>
        <v>-444000</v>
      </c>
      <c r="F8" s="3">
        <f t="shared" si="8"/>
        <v>-576000</v>
      </c>
      <c r="G8" s="3">
        <f t="shared" si="8"/>
        <v>-720000</v>
      </c>
      <c r="H8" s="3">
        <f t="shared" si="8"/>
        <v>-792000</v>
      </c>
      <c r="I8" s="3">
        <f t="shared" si="8"/>
        <v>-774400</v>
      </c>
      <c r="J8" s="3">
        <f t="shared" si="8"/>
        <v>-843321.6</v>
      </c>
      <c r="K8" s="3">
        <f t="shared" si="8"/>
        <v>-918377.22240000009</v>
      </c>
      <c r="L8" s="3">
        <f t="shared" si="8"/>
        <v>-909193.45017600001</v>
      </c>
      <c r="M8" s="3">
        <f t="shared" si="8"/>
        <v>-909193.45017600001</v>
      </c>
      <c r="N8" s="3">
        <f t="shared" si="8"/>
        <v>-909193.45017600001</v>
      </c>
      <c r="O8" s="3">
        <f t="shared" si="8"/>
        <v>-909193.45017600001</v>
      </c>
      <c r="P8" s="3">
        <f t="shared" si="8"/>
        <v>-909193.45017600001</v>
      </c>
      <c r="Q8" s="3">
        <f t="shared" si="8"/>
        <v>-909193.45017600001</v>
      </c>
      <c r="R8" s="1"/>
      <c r="S8" s="1"/>
      <c r="T8" s="2"/>
    </row>
    <row r="9" spans="1:20" x14ac:dyDescent="0.35">
      <c r="A9" s="1"/>
      <c r="B9" s="1" t="s">
        <v>12</v>
      </c>
      <c r="C9" s="1"/>
      <c r="D9" s="3">
        <f t="shared" ref="D9:Q9" si="9">D6+D8</f>
        <v>573825</v>
      </c>
      <c r="E9" s="3">
        <f t="shared" si="9"/>
        <v>243000</v>
      </c>
      <c r="F9" s="3">
        <f t="shared" si="9"/>
        <v>0</v>
      </c>
      <c r="G9" s="3">
        <f t="shared" si="9"/>
        <v>0</v>
      </c>
      <c r="H9" s="3">
        <f t="shared" si="9"/>
        <v>330000</v>
      </c>
      <c r="I9" s="3">
        <f t="shared" si="9"/>
        <v>472142</v>
      </c>
      <c r="J9" s="3">
        <f t="shared" si="9"/>
        <v>541586.56200000003</v>
      </c>
      <c r="K9" s="3">
        <f t="shared" si="9"/>
        <v>620255.74558199989</v>
      </c>
      <c r="L9" s="3">
        <f t="shared" si="9"/>
        <v>644825.84748581995</v>
      </c>
      <c r="M9" s="3">
        <f t="shared" si="9"/>
        <v>644825.84748581995</v>
      </c>
      <c r="N9" s="3">
        <f t="shared" si="9"/>
        <v>644825.84748581995</v>
      </c>
      <c r="O9" s="3">
        <f t="shared" si="9"/>
        <v>644825.84748581995</v>
      </c>
      <c r="P9" s="3">
        <f t="shared" si="9"/>
        <v>644825.84748581995</v>
      </c>
      <c r="Q9" s="3">
        <f t="shared" si="9"/>
        <v>644825.84748581995</v>
      </c>
      <c r="R9" s="1"/>
      <c r="S9" s="1"/>
      <c r="T9" s="2"/>
    </row>
    <row r="10" spans="1:20" ht="13.5" customHeight="1" x14ac:dyDescent="0.35">
      <c r="A10" s="1"/>
      <c r="B10" s="1" t="s">
        <v>13</v>
      </c>
      <c r="C10" s="1"/>
      <c r="D10" s="19">
        <v>-197000</v>
      </c>
      <c r="E10" s="19">
        <v>-198000</v>
      </c>
      <c r="F10" s="19">
        <v>-150000</v>
      </c>
      <c r="G10" s="19">
        <v>-198000</v>
      </c>
      <c r="H10" s="19">
        <v>-198000</v>
      </c>
      <c r="I10" s="19">
        <v>-198000</v>
      </c>
      <c r="J10" s="19">
        <v>-198000</v>
      </c>
      <c r="K10" s="19">
        <v>-198000</v>
      </c>
      <c r="L10" s="19">
        <v>-198000</v>
      </c>
      <c r="M10" s="19">
        <v>-198000</v>
      </c>
      <c r="N10" s="19">
        <v>-198000</v>
      </c>
      <c r="O10" s="19">
        <v>-198000</v>
      </c>
      <c r="P10" s="19">
        <v>-198000</v>
      </c>
      <c r="Q10" s="19">
        <v>-198000</v>
      </c>
      <c r="R10" s="1"/>
      <c r="S10" s="1"/>
      <c r="T10" s="2"/>
    </row>
    <row r="11" spans="1:20" ht="13.5" customHeight="1" x14ac:dyDescent="0.35">
      <c r="A11" s="1"/>
      <c r="B11" s="1" t="s">
        <v>14</v>
      </c>
      <c r="C11" s="1"/>
      <c r="D11" s="19">
        <v>-106000</v>
      </c>
      <c r="E11" s="19">
        <v>-107000</v>
      </c>
      <c r="F11" s="19">
        <v>-108000</v>
      </c>
      <c r="G11" s="19">
        <v>-108509.77747808496</v>
      </c>
      <c r="H11" s="19">
        <v>-109346.55700092165</v>
      </c>
      <c r="I11" s="19">
        <v>-110122.39775877766</v>
      </c>
      <c r="J11" s="19">
        <v>-110841.73763878577</v>
      </c>
      <c r="K11" s="19">
        <v>-111508.69133737723</v>
      </c>
      <c r="L11" s="19">
        <v>-112127.07389675904</v>
      </c>
      <c r="M11" s="19">
        <v>-112700.42252733896</v>
      </c>
      <c r="N11" s="19">
        <v>-113232.01684092452</v>
      </c>
      <c r="O11" s="19">
        <v>-113724.89761043238</v>
      </c>
      <c r="P11" s="19">
        <v>-114181.88416341506</v>
      </c>
      <c r="Q11" s="19">
        <v>-114605.59050889798</v>
      </c>
      <c r="R11" s="1"/>
      <c r="S11" s="1"/>
      <c r="T11" s="2"/>
    </row>
    <row r="12" spans="1:20" x14ac:dyDescent="0.35">
      <c r="A12" s="1"/>
      <c r="B12" s="1" t="s">
        <v>15</v>
      </c>
      <c r="C12" s="1"/>
      <c r="D12" s="3">
        <f t="shared" ref="D12:Q12" si="10">D9+D10+D11</f>
        <v>270825</v>
      </c>
      <c r="E12" s="3">
        <f t="shared" si="10"/>
        <v>-62000</v>
      </c>
      <c r="F12" s="3">
        <f t="shared" si="10"/>
        <v>-258000</v>
      </c>
      <c r="G12" s="3">
        <f t="shared" si="10"/>
        <v>-306509.77747808496</v>
      </c>
      <c r="H12" s="3">
        <f t="shared" si="10"/>
        <v>22653.442999078354</v>
      </c>
      <c r="I12" s="3">
        <f t="shared" si="10"/>
        <v>164019.60224122234</v>
      </c>
      <c r="J12" s="3">
        <f t="shared" si="10"/>
        <v>232744.82436121427</v>
      </c>
      <c r="K12" s="3">
        <f t="shared" si="10"/>
        <v>310747.05424462265</v>
      </c>
      <c r="L12" s="3">
        <f t="shared" si="10"/>
        <v>334698.77358906087</v>
      </c>
      <c r="M12" s="3">
        <f t="shared" si="10"/>
        <v>334125.42495848099</v>
      </c>
      <c r="N12" s="3">
        <f t="shared" si="10"/>
        <v>333593.83064489544</v>
      </c>
      <c r="O12" s="3">
        <f t="shared" si="10"/>
        <v>333100.9498753876</v>
      </c>
      <c r="P12" s="3">
        <f t="shared" si="10"/>
        <v>332643.96332240489</v>
      </c>
      <c r="Q12" s="3">
        <f t="shared" si="10"/>
        <v>332220.25697692198</v>
      </c>
      <c r="R12" s="1"/>
      <c r="S12" s="1"/>
      <c r="T12" s="2"/>
    </row>
    <row r="13" spans="1:20" ht="13.9" x14ac:dyDescent="0.4">
      <c r="A13" s="1"/>
      <c r="B13" s="4" t="str">
        <f>B12&amp;" [%]"</f>
        <v>EBIT [%]</v>
      </c>
      <c r="C13" s="4"/>
      <c r="D13" s="5">
        <f t="shared" ref="D13:Q13" si="11">IFERROR(D12/D$6,"-")</f>
        <v>0.19433830256713847</v>
      </c>
      <c r="E13" s="5">
        <f t="shared" si="11"/>
        <v>-9.0247452692867547E-2</v>
      </c>
      <c r="F13" s="5">
        <f t="shared" si="11"/>
        <v>-0.44791666666666669</v>
      </c>
      <c r="G13" s="5">
        <f t="shared" si="11"/>
        <v>-0.425708024275118</v>
      </c>
      <c r="H13" s="5">
        <f t="shared" si="11"/>
        <v>2.0190234402030618E-2</v>
      </c>
      <c r="I13" s="5">
        <f t="shared" si="11"/>
        <v>0.13157968383032609</v>
      </c>
      <c r="J13" s="5">
        <f t="shared" si="11"/>
        <v>0.1680579483516787</v>
      </c>
      <c r="K13" s="5">
        <f t="shared" si="11"/>
        <v>0.20196308067685834</v>
      </c>
      <c r="L13" s="5">
        <f t="shared" si="11"/>
        <v>0.21537620162931645</v>
      </c>
      <c r="M13" s="5">
        <f t="shared" si="11"/>
        <v>0.21500725599817624</v>
      </c>
      <c r="N13" s="5">
        <f t="shared" si="11"/>
        <v>0.21466517896323506</v>
      </c>
      <c r="O13" s="5">
        <f t="shared" si="11"/>
        <v>0.21434801380946289</v>
      </c>
      <c r="P13" s="5">
        <f t="shared" si="11"/>
        <v>0.21405394632029445</v>
      </c>
      <c r="Q13" s="5">
        <f t="shared" si="11"/>
        <v>0.21378129440012819</v>
      </c>
      <c r="R13" s="1"/>
      <c r="S13" s="1"/>
      <c r="T13" s="2"/>
    </row>
    <row r="14" spans="1:20" ht="13.9" x14ac:dyDescent="0.35">
      <c r="A14" s="1"/>
      <c r="B14" s="24" t="s">
        <v>46</v>
      </c>
      <c r="C14" s="24"/>
      <c r="D14" s="23">
        <f t="shared" ref="D14:Q14" si="12">D12-D11</f>
        <v>376825</v>
      </c>
      <c r="E14" s="23">
        <f t="shared" si="12"/>
        <v>45000</v>
      </c>
      <c r="F14" s="23">
        <f t="shared" si="12"/>
        <v>-150000</v>
      </c>
      <c r="G14" s="23">
        <f t="shared" si="12"/>
        <v>-198000</v>
      </c>
      <c r="H14" s="23">
        <f t="shared" si="12"/>
        <v>132000</v>
      </c>
      <c r="I14" s="23">
        <f t="shared" si="12"/>
        <v>274142</v>
      </c>
      <c r="J14" s="23">
        <f t="shared" si="12"/>
        <v>343586.56200000003</v>
      </c>
      <c r="K14" s="23">
        <f t="shared" si="12"/>
        <v>422255.74558199989</v>
      </c>
      <c r="L14" s="23">
        <f t="shared" si="12"/>
        <v>446825.84748581995</v>
      </c>
      <c r="M14" s="23">
        <f t="shared" si="12"/>
        <v>446825.84748581995</v>
      </c>
      <c r="N14" s="23">
        <f t="shared" si="12"/>
        <v>446825.84748581995</v>
      </c>
      <c r="O14" s="23">
        <f t="shared" si="12"/>
        <v>446825.84748581995</v>
      </c>
      <c r="P14" s="23">
        <f t="shared" si="12"/>
        <v>446825.84748581995</v>
      </c>
      <c r="Q14" s="23">
        <f t="shared" si="12"/>
        <v>446825.84748581995</v>
      </c>
      <c r="R14" s="1"/>
      <c r="S14" s="1"/>
      <c r="T14" s="1"/>
    </row>
    <row r="15" spans="1:20" ht="13.9" x14ac:dyDescent="0.4">
      <c r="A15" s="1"/>
      <c r="B15" s="4" t="str">
        <f>B14&amp;" [%]"</f>
        <v>EBITDA [%]</v>
      </c>
      <c r="C15" s="4"/>
      <c r="D15" s="5">
        <f t="shared" ref="D15:Q15" si="13">IFERROR(D14/D$6,"-")</f>
        <v>0.27040166478302208</v>
      </c>
      <c r="E15" s="5">
        <f t="shared" si="13"/>
        <v>6.5502183406113537E-2</v>
      </c>
      <c r="F15" s="5">
        <f t="shared" si="13"/>
        <v>-0.26041666666666669</v>
      </c>
      <c r="G15" s="5">
        <f t="shared" si="13"/>
        <v>-0.27500000000000002</v>
      </c>
      <c r="H15" s="5">
        <f t="shared" si="13"/>
        <v>0.11764705882352941</v>
      </c>
      <c r="I15" s="5">
        <f t="shared" si="13"/>
        <v>0.21992199219921993</v>
      </c>
      <c r="J15" s="5">
        <f t="shared" si="13"/>
        <v>0.2480933909031291</v>
      </c>
      <c r="K15" s="5">
        <f t="shared" si="13"/>
        <v>0.27443565448607998</v>
      </c>
      <c r="L15" s="5">
        <f t="shared" si="13"/>
        <v>0.28752914983624389</v>
      </c>
      <c r="M15" s="5">
        <f t="shared" si="13"/>
        <v>0.28752914983624389</v>
      </c>
      <c r="N15" s="5">
        <f t="shared" si="13"/>
        <v>0.28752914983624389</v>
      </c>
      <c r="O15" s="5">
        <f t="shared" si="13"/>
        <v>0.28752914983624389</v>
      </c>
      <c r="P15" s="5">
        <f t="shared" si="13"/>
        <v>0.28752914983624389</v>
      </c>
      <c r="Q15" s="5">
        <f t="shared" si="13"/>
        <v>0.28752914983624389</v>
      </c>
      <c r="R15" s="1"/>
      <c r="S15" s="1"/>
      <c r="T15" s="2"/>
    </row>
    <row r="16" spans="1:20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</row>
    <row r="17" spans="1:20" x14ac:dyDescent="0.3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</row>
    <row r="18" spans="1:20" ht="13.5" customHeight="1" x14ac:dyDescent="0.4">
      <c r="A18" s="1"/>
      <c r="B18" s="13" t="s">
        <v>42</v>
      </c>
      <c r="C18" s="13"/>
      <c r="D18" s="13"/>
      <c r="E18" s="13"/>
      <c r="F18" s="13"/>
      <c r="G18" s="15">
        <v>0</v>
      </c>
      <c r="H18" s="15">
        <f t="shared" ref="H18:P18" si="14">G18+1</f>
        <v>1</v>
      </c>
      <c r="I18" s="15">
        <f t="shared" si="14"/>
        <v>2</v>
      </c>
      <c r="J18" s="15">
        <f t="shared" si="14"/>
        <v>3</v>
      </c>
      <c r="K18" s="15">
        <f t="shared" si="14"/>
        <v>4</v>
      </c>
      <c r="L18" s="15">
        <f t="shared" si="14"/>
        <v>5</v>
      </c>
      <c r="M18" s="15">
        <f t="shared" si="14"/>
        <v>6</v>
      </c>
      <c r="N18" s="15">
        <f t="shared" si="14"/>
        <v>7</v>
      </c>
      <c r="O18" s="15">
        <f t="shared" si="14"/>
        <v>8</v>
      </c>
      <c r="P18" s="15">
        <f t="shared" si="14"/>
        <v>9</v>
      </c>
      <c r="Q18" s="15" t="s">
        <v>47</v>
      </c>
      <c r="R18" s="1"/>
      <c r="S18" s="1"/>
      <c r="T18" s="1"/>
    </row>
    <row r="19" spans="1:20" x14ac:dyDescent="0.35">
      <c r="A19" s="1"/>
      <c r="B19" s="1" t="s">
        <v>46</v>
      </c>
      <c r="C19" s="1"/>
      <c r="D19" s="3"/>
      <c r="E19" s="3"/>
      <c r="F19" s="3"/>
      <c r="G19" s="3">
        <f t="shared" ref="G19:Q19" si="15">G14</f>
        <v>-198000</v>
      </c>
      <c r="H19" s="3">
        <f t="shared" si="15"/>
        <v>132000</v>
      </c>
      <c r="I19" s="3">
        <f t="shared" si="15"/>
        <v>274142</v>
      </c>
      <c r="J19" s="3">
        <f t="shared" si="15"/>
        <v>343586.56200000003</v>
      </c>
      <c r="K19" s="3">
        <f t="shared" si="15"/>
        <v>422255.74558199989</v>
      </c>
      <c r="L19" s="3">
        <f t="shared" si="15"/>
        <v>446825.84748581995</v>
      </c>
      <c r="M19" s="3">
        <f t="shared" si="15"/>
        <v>446825.84748581995</v>
      </c>
      <c r="N19" s="3">
        <f t="shared" si="15"/>
        <v>446825.84748581995</v>
      </c>
      <c r="O19" s="3">
        <f t="shared" si="15"/>
        <v>446825.84748581995</v>
      </c>
      <c r="P19" s="3">
        <f t="shared" si="15"/>
        <v>446825.84748581995</v>
      </c>
      <c r="Q19" s="3">
        <f t="shared" si="15"/>
        <v>446825.84748581995</v>
      </c>
      <c r="R19" s="1"/>
      <c r="S19" s="1"/>
      <c r="T19" s="1"/>
    </row>
    <row r="20" spans="1:20" x14ac:dyDescent="0.35">
      <c r="A20" s="1"/>
      <c r="B20" s="1" t="s">
        <v>36</v>
      </c>
      <c r="C20" s="1"/>
      <c r="D20" s="1"/>
      <c r="E20" s="1"/>
      <c r="F20" s="1"/>
      <c r="G20" s="3">
        <f t="shared" ref="G20:Q20" si="16">(G6-F6)*$T$4</f>
        <v>-21600</v>
      </c>
      <c r="H20" s="3">
        <f t="shared" si="16"/>
        <v>-60300</v>
      </c>
      <c r="I20" s="3">
        <f t="shared" si="16"/>
        <v>-18681.3</v>
      </c>
      <c r="J20" s="3">
        <f t="shared" si="16"/>
        <v>-20754.924300000002</v>
      </c>
      <c r="K20" s="3">
        <f t="shared" si="16"/>
        <v>-23058.720897299994</v>
      </c>
      <c r="L20" s="3">
        <f t="shared" si="16"/>
        <v>-2307.9494519729983</v>
      </c>
      <c r="M20" s="3">
        <f t="shared" si="16"/>
        <v>0</v>
      </c>
      <c r="N20" s="3">
        <f t="shared" si="16"/>
        <v>0</v>
      </c>
      <c r="O20" s="3">
        <f t="shared" si="16"/>
        <v>0</v>
      </c>
      <c r="P20" s="3">
        <f t="shared" si="16"/>
        <v>0</v>
      </c>
      <c r="Q20" s="3">
        <f t="shared" si="16"/>
        <v>0</v>
      </c>
      <c r="R20" s="1"/>
      <c r="S20" s="1"/>
      <c r="T20" s="1"/>
    </row>
    <row r="21" spans="1:20" x14ac:dyDescent="0.35">
      <c r="A21" s="1"/>
      <c r="B21" s="1" t="s">
        <v>48</v>
      </c>
      <c r="C21" s="1"/>
      <c r="D21" s="1"/>
      <c r="E21" s="1"/>
      <c r="F21" s="1"/>
      <c r="G21" s="3">
        <f>-T5*G12</f>
        <v>-104213.32434254889</v>
      </c>
      <c r="H21" s="3">
        <f t="shared" ref="H21:Q21" si="17">-U21*H12</f>
        <v>0</v>
      </c>
      <c r="I21" s="3">
        <f t="shared" si="17"/>
        <v>0</v>
      </c>
      <c r="J21" s="3">
        <f t="shared" si="17"/>
        <v>0</v>
      </c>
      <c r="K21" s="3">
        <f t="shared" si="17"/>
        <v>0</v>
      </c>
      <c r="L21" s="3">
        <f t="shared" si="17"/>
        <v>0</v>
      </c>
      <c r="M21" s="3">
        <f t="shared" si="17"/>
        <v>0</v>
      </c>
      <c r="N21" s="3">
        <f t="shared" si="17"/>
        <v>0</v>
      </c>
      <c r="O21" s="3">
        <f t="shared" si="17"/>
        <v>0</v>
      </c>
      <c r="P21" s="3">
        <f t="shared" si="17"/>
        <v>0</v>
      </c>
      <c r="Q21" s="3">
        <f t="shared" si="17"/>
        <v>0</v>
      </c>
      <c r="R21" s="1"/>
      <c r="S21" s="1"/>
      <c r="T21" s="1"/>
    </row>
    <row r="22" spans="1:20" ht="13.5" customHeight="1" x14ac:dyDescent="0.35">
      <c r="A22" s="1"/>
      <c r="B22" s="1" t="s">
        <v>49</v>
      </c>
      <c r="C22" s="1"/>
      <c r="D22" s="1"/>
      <c r="E22" s="1"/>
      <c r="F22" s="1"/>
      <c r="G22" s="19">
        <v>-120000</v>
      </c>
      <c r="H22" s="19">
        <f t="shared" ref="H22:Q22" si="18">G22</f>
        <v>-120000</v>
      </c>
      <c r="I22" s="19">
        <f t="shared" si="18"/>
        <v>-120000</v>
      </c>
      <c r="J22" s="19">
        <f t="shared" si="18"/>
        <v>-120000</v>
      </c>
      <c r="K22" s="19">
        <f t="shared" si="18"/>
        <v>-120000</v>
      </c>
      <c r="L22" s="19">
        <f t="shared" si="18"/>
        <v>-120000</v>
      </c>
      <c r="M22" s="19">
        <f t="shared" si="18"/>
        <v>-120000</v>
      </c>
      <c r="N22" s="19">
        <f t="shared" si="18"/>
        <v>-120000</v>
      </c>
      <c r="O22" s="19">
        <f t="shared" si="18"/>
        <v>-120000</v>
      </c>
      <c r="P22" s="19">
        <f t="shared" si="18"/>
        <v>-120000</v>
      </c>
      <c r="Q22" s="19">
        <f t="shared" si="18"/>
        <v>-120000</v>
      </c>
      <c r="R22" s="1"/>
      <c r="S22" s="1"/>
      <c r="T22" s="1"/>
    </row>
    <row r="23" spans="1:20" x14ac:dyDescent="0.35">
      <c r="A23" s="1"/>
      <c r="B23" s="3" t="s">
        <v>50</v>
      </c>
      <c r="C23" s="3"/>
      <c r="D23" s="3"/>
      <c r="E23" s="3"/>
      <c r="F23" s="3"/>
      <c r="G23" s="3">
        <f t="shared" ref="G23:Q23" si="19">G19+G20+G21+G22</f>
        <v>-443813.32434254891</v>
      </c>
      <c r="H23" s="3">
        <f t="shared" si="19"/>
        <v>-48300</v>
      </c>
      <c r="I23" s="3">
        <f t="shared" si="19"/>
        <v>135460.70000000001</v>
      </c>
      <c r="J23" s="3">
        <f t="shared" si="19"/>
        <v>202831.63770000002</v>
      </c>
      <c r="K23" s="3">
        <f t="shared" si="19"/>
        <v>279197.02468469989</v>
      </c>
      <c r="L23" s="3">
        <f t="shared" si="19"/>
        <v>324517.89803384693</v>
      </c>
      <c r="M23" s="3">
        <f t="shared" si="19"/>
        <v>326825.84748581995</v>
      </c>
      <c r="N23" s="3">
        <f t="shared" si="19"/>
        <v>326825.84748581995</v>
      </c>
      <c r="O23" s="3">
        <f t="shared" si="19"/>
        <v>326825.84748581995</v>
      </c>
      <c r="P23" s="3">
        <f t="shared" si="19"/>
        <v>326825.84748581995</v>
      </c>
      <c r="Q23" s="3">
        <f t="shared" si="19"/>
        <v>326825.84748581995</v>
      </c>
      <c r="R23" s="1"/>
      <c r="S23" s="1"/>
      <c r="T23" s="1"/>
    </row>
    <row r="24" spans="1:20" x14ac:dyDescent="0.35">
      <c r="A24" s="1"/>
      <c r="B24" s="3" t="s">
        <v>51</v>
      </c>
      <c r="C24" s="3"/>
      <c r="D24" s="3"/>
      <c r="E24" s="3"/>
      <c r="F24" s="3"/>
      <c r="G24" s="3">
        <f t="shared" ref="G24:P24" si="20">G23/(1+$T$6)^G$18</f>
        <v>-443813.32434254891</v>
      </c>
      <c r="H24" s="3">
        <f t="shared" si="20"/>
        <v>-43909.090909090904</v>
      </c>
      <c r="I24" s="3">
        <f t="shared" si="20"/>
        <v>111950.99173553719</v>
      </c>
      <c r="J24" s="3">
        <f t="shared" si="20"/>
        <v>152390.41149511642</v>
      </c>
      <c r="K24" s="3">
        <f t="shared" si="20"/>
        <v>190695.32455754376</v>
      </c>
      <c r="L24" s="3">
        <f t="shared" si="20"/>
        <v>201500.08260355217</v>
      </c>
      <c r="M24" s="3">
        <f t="shared" si="20"/>
        <v>184484.67057347717</v>
      </c>
      <c r="N24" s="3">
        <f t="shared" si="20"/>
        <v>167713.33688497922</v>
      </c>
      <c r="O24" s="3">
        <f t="shared" si="20"/>
        <v>152466.66989543568</v>
      </c>
      <c r="P24" s="3">
        <f t="shared" si="20"/>
        <v>138606.06354130514</v>
      </c>
      <c r="Q24" s="3">
        <f>(Q23/(T6-T7))/(1+T6)^(P18)</f>
        <v>1732575.7942663142</v>
      </c>
      <c r="R24" s="1"/>
      <c r="S24" s="1"/>
      <c r="T24" s="1"/>
    </row>
    <row r="25" spans="1:20" ht="13.9" x14ac:dyDescent="0.35">
      <c r="A25" s="1"/>
      <c r="B25" s="24" t="s">
        <v>52</v>
      </c>
      <c r="C25" s="24"/>
      <c r="D25" s="23">
        <f>SUM(G24:Q24)</f>
        <v>2544660.9303016211</v>
      </c>
      <c r="E25" s="24"/>
      <c r="F25" s="24"/>
      <c r="G25" s="25">
        <f t="shared" ref="G25:Q25" si="21">G24/$D$25</f>
        <v>-0.17440961153513812</v>
      </c>
      <c r="H25" s="25">
        <f t="shared" si="21"/>
        <v>-1.7255379837142513E-2</v>
      </c>
      <c r="I25" s="25">
        <f t="shared" si="21"/>
        <v>4.3994463231793922E-2</v>
      </c>
      <c r="J25" s="25">
        <f t="shared" si="21"/>
        <v>5.9886332862843714E-2</v>
      </c>
      <c r="K25" s="25">
        <f t="shared" si="21"/>
        <v>7.4939384767046535E-2</v>
      </c>
      <c r="L25" s="25">
        <f t="shared" si="21"/>
        <v>7.918543496467649E-2</v>
      </c>
      <c r="M25" s="25">
        <f t="shared" si="21"/>
        <v>7.2498724044782664E-2</v>
      </c>
      <c r="N25" s="25">
        <f t="shared" si="21"/>
        <v>6.5907930949802421E-2</v>
      </c>
      <c r="O25" s="25">
        <f t="shared" si="21"/>
        <v>5.9916300863456749E-2</v>
      </c>
      <c r="P25" s="25">
        <f t="shared" si="21"/>
        <v>5.4469364421324308E-2</v>
      </c>
      <c r="Q25" s="25">
        <f t="shared" si="21"/>
        <v>0.68086705526655389</v>
      </c>
      <c r="R25" s="1"/>
      <c r="S25" s="1"/>
      <c r="T25" s="1"/>
    </row>
  </sheetData>
  <mergeCells count="1">
    <mergeCell ref="S2:T2"/>
  </mergeCells>
  <pageMargins left="0.25" right="0.25" top="0.75" bottom="0.75" header="0.3" footer="0.3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25"/>
  <sheetViews>
    <sheetView showGridLines="0" zoomScale="85" zoomScaleNormal="85" workbookViewId="0"/>
  </sheetViews>
  <sheetFormatPr defaultColWidth="9" defaultRowHeight="13.5" x14ac:dyDescent="0.35"/>
  <cols>
    <col min="1" max="1" width="2.125" customWidth="1"/>
    <col min="2" max="2" width="20.6875" bestFit="1" customWidth="1"/>
    <col min="16" max="16" width="18.1875" bestFit="1" customWidth="1"/>
  </cols>
  <sheetData>
    <row r="1" spans="1:17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13.9" x14ac:dyDescent="0.4">
      <c r="A2" s="1"/>
      <c r="B2" s="13" t="s">
        <v>42</v>
      </c>
      <c r="C2" s="13"/>
      <c r="D2" s="15">
        <v>2010</v>
      </c>
      <c r="E2" s="15">
        <f t="shared" ref="E2:N2" si="0">D2+1</f>
        <v>2011</v>
      </c>
      <c r="F2" s="15">
        <f t="shared" si="0"/>
        <v>2012</v>
      </c>
      <c r="G2" s="15">
        <f t="shared" si="0"/>
        <v>2013</v>
      </c>
      <c r="H2" s="15">
        <f t="shared" si="0"/>
        <v>2014</v>
      </c>
      <c r="I2" s="15">
        <f t="shared" si="0"/>
        <v>2015</v>
      </c>
      <c r="J2" s="15">
        <f t="shared" si="0"/>
        <v>2016</v>
      </c>
      <c r="K2" s="15">
        <f t="shared" si="0"/>
        <v>2017</v>
      </c>
      <c r="L2" s="15">
        <f t="shared" si="0"/>
        <v>2018</v>
      </c>
      <c r="M2" s="15">
        <f t="shared" si="0"/>
        <v>2019</v>
      </c>
      <c r="N2" s="15">
        <f t="shared" si="0"/>
        <v>2020</v>
      </c>
      <c r="O2" s="1"/>
      <c r="P2" s="138" t="s">
        <v>1</v>
      </c>
      <c r="Q2" s="139"/>
    </row>
    <row r="3" spans="1:17" x14ac:dyDescent="0.35">
      <c r="A3" s="1"/>
      <c r="B3" s="1" t="s">
        <v>2</v>
      </c>
      <c r="C3" s="1"/>
      <c r="D3" s="16">
        <v>3000</v>
      </c>
      <c r="E3" s="16">
        <v>3000</v>
      </c>
      <c r="F3" s="16">
        <v>4651</v>
      </c>
      <c r="G3" s="16">
        <v>5324</v>
      </c>
      <c r="H3" s="16">
        <v>5856.4000000000015</v>
      </c>
      <c r="I3" s="16">
        <v>5856.4000000000015</v>
      </c>
      <c r="J3" s="16">
        <v>5856.4000000000015</v>
      </c>
      <c r="K3" s="16">
        <v>5856.4000000000015</v>
      </c>
      <c r="L3" s="16">
        <v>5856.4000000000015</v>
      </c>
      <c r="M3" s="16">
        <v>5856.4000000000015</v>
      </c>
      <c r="N3" s="16">
        <v>5856.3999999999942</v>
      </c>
      <c r="O3" s="1"/>
      <c r="P3" s="1"/>
      <c r="Q3" s="2"/>
    </row>
    <row r="4" spans="1:17" x14ac:dyDescent="0.35">
      <c r="A4" s="1"/>
      <c r="B4" s="1" t="s">
        <v>3</v>
      </c>
      <c r="C4" s="1"/>
      <c r="D4" s="16">
        <v>4000</v>
      </c>
      <c r="E4" s="16">
        <v>4400</v>
      </c>
      <c r="F4" s="16">
        <v>4840</v>
      </c>
      <c r="G4" s="16">
        <v>5324</v>
      </c>
      <c r="H4" s="16">
        <v>5856.4000000000005</v>
      </c>
      <c r="I4" s="16">
        <v>5856.4000000000005</v>
      </c>
      <c r="J4" s="16">
        <v>5856.4000000000005</v>
      </c>
      <c r="K4" s="16">
        <v>5856.4000000000005</v>
      </c>
      <c r="L4" s="16">
        <v>5856.4000000000005</v>
      </c>
      <c r="M4" s="16">
        <v>5856.4000000000005</v>
      </c>
      <c r="N4" s="16">
        <v>5856.4000000000005</v>
      </c>
      <c r="O4" s="1"/>
      <c r="P4" s="1" t="s">
        <v>43</v>
      </c>
      <c r="Q4" s="17">
        <v>-0.15</v>
      </c>
    </row>
    <row r="5" spans="1:17" x14ac:dyDescent="0.35">
      <c r="A5" s="1"/>
      <c r="B5" s="1" t="s">
        <v>5</v>
      </c>
      <c r="C5" s="1"/>
      <c r="D5" s="16">
        <v>180</v>
      </c>
      <c r="E5" s="16">
        <v>255</v>
      </c>
      <c r="F5" s="16">
        <f t="shared" ref="F5:I5" si="1">E5*1.01</f>
        <v>257.55</v>
      </c>
      <c r="G5" s="16">
        <f t="shared" si="1"/>
        <v>260.12549999999999</v>
      </c>
      <c r="H5" s="16">
        <f t="shared" si="1"/>
        <v>262.72675499999997</v>
      </c>
      <c r="I5" s="16">
        <f t="shared" si="1"/>
        <v>265.35402254999997</v>
      </c>
      <c r="J5" s="16">
        <f t="shared" ref="J5:N5" si="2">I5</f>
        <v>265.35402254999997</v>
      </c>
      <c r="K5" s="16">
        <f t="shared" si="2"/>
        <v>265.35402254999997</v>
      </c>
      <c r="L5" s="16">
        <f t="shared" si="2"/>
        <v>265.35402254999997</v>
      </c>
      <c r="M5" s="16">
        <f t="shared" si="2"/>
        <v>265.35402254999997</v>
      </c>
      <c r="N5" s="16">
        <f t="shared" si="2"/>
        <v>265.35402254999997</v>
      </c>
      <c r="O5" s="1"/>
      <c r="P5" s="1" t="s">
        <v>8</v>
      </c>
      <c r="Q5" s="17">
        <v>-0.34</v>
      </c>
    </row>
    <row r="6" spans="1:17" x14ac:dyDescent="0.35">
      <c r="A6" s="1"/>
      <c r="B6" s="1" t="s">
        <v>7</v>
      </c>
      <c r="C6" s="1"/>
      <c r="D6" s="3">
        <f t="shared" ref="D6:N6" si="3">D$4*D5</f>
        <v>720000</v>
      </c>
      <c r="E6" s="3">
        <f t="shared" si="3"/>
        <v>1122000</v>
      </c>
      <c r="F6" s="3">
        <f t="shared" si="3"/>
        <v>1246542</v>
      </c>
      <c r="G6" s="3">
        <f t="shared" si="3"/>
        <v>1384908.162</v>
      </c>
      <c r="H6" s="3">
        <f t="shared" si="3"/>
        <v>1538632.967982</v>
      </c>
      <c r="I6" s="3">
        <f t="shared" si="3"/>
        <v>1554019.29766182</v>
      </c>
      <c r="J6" s="3">
        <f t="shared" si="3"/>
        <v>1554019.29766182</v>
      </c>
      <c r="K6" s="3">
        <f t="shared" si="3"/>
        <v>1554019.29766182</v>
      </c>
      <c r="L6" s="3">
        <f t="shared" si="3"/>
        <v>1554019.29766182</v>
      </c>
      <c r="M6" s="3">
        <f t="shared" si="3"/>
        <v>1554019.29766182</v>
      </c>
      <c r="N6" s="3">
        <f t="shared" si="3"/>
        <v>1554019.29766182</v>
      </c>
      <c r="O6" s="1"/>
      <c r="P6" s="1" t="s">
        <v>44</v>
      </c>
      <c r="Q6" s="17">
        <v>0.1</v>
      </c>
    </row>
    <row r="7" spans="1:17" x14ac:dyDescent="0.35">
      <c r="A7" s="1"/>
      <c r="B7" s="1" t="s">
        <v>9</v>
      </c>
      <c r="C7" s="1"/>
      <c r="D7" s="16">
        <v>-180</v>
      </c>
      <c r="E7" s="16">
        <v>-180</v>
      </c>
      <c r="F7" s="16">
        <v>-160</v>
      </c>
      <c r="G7" s="16">
        <f t="shared" ref="G7:I7" si="4">F7*0.99</f>
        <v>-158.4</v>
      </c>
      <c r="H7" s="16">
        <f t="shared" si="4"/>
        <v>-156.816</v>
      </c>
      <c r="I7" s="16">
        <f t="shared" si="4"/>
        <v>-155.24784</v>
      </c>
      <c r="J7" s="16">
        <f t="shared" ref="J7:N7" si="5">I7</f>
        <v>-155.24784</v>
      </c>
      <c r="K7" s="16">
        <f t="shared" si="5"/>
        <v>-155.24784</v>
      </c>
      <c r="L7" s="16">
        <f t="shared" si="5"/>
        <v>-155.24784</v>
      </c>
      <c r="M7" s="16">
        <f t="shared" si="5"/>
        <v>-155.24784</v>
      </c>
      <c r="N7" s="16">
        <f t="shared" si="5"/>
        <v>-155.24784</v>
      </c>
      <c r="O7" s="1"/>
      <c r="P7" s="1" t="s">
        <v>45</v>
      </c>
      <c r="Q7" s="17">
        <v>0.02</v>
      </c>
    </row>
    <row r="8" spans="1:17" x14ac:dyDescent="0.35">
      <c r="A8" s="1"/>
      <c r="B8" s="1" t="s">
        <v>11</v>
      </c>
      <c r="C8" s="1"/>
      <c r="D8" s="3">
        <f t="shared" ref="D8:N8" si="6">D$4*D7</f>
        <v>-720000</v>
      </c>
      <c r="E8" s="3">
        <f t="shared" si="6"/>
        <v>-792000</v>
      </c>
      <c r="F8" s="3">
        <f t="shared" si="6"/>
        <v>-774400</v>
      </c>
      <c r="G8" s="3">
        <f t="shared" si="6"/>
        <v>-843321.6</v>
      </c>
      <c r="H8" s="3">
        <f t="shared" si="6"/>
        <v>-918377.22240000009</v>
      </c>
      <c r="I8" s="3">
        <f t="shared" si="6"/>
        <v>-909193.45017600001</v>
      </c>
      <c r="J8" s="3">
        <f t="shared" si="6"/>
        <v>-909193.45017600001</v>
      </c>
      <c r="K8" s="3">
        <f t="shared" si="6"/>
        <v>-909193.45017600001</v>
      </c>
      <c r="L8" s="3">
        <f t="shared" si="6"/>
        <v>-909193.45017600001</v>
      </c>
      <c r="M8" s="3">
        <f t="shared" si="6"/>
        <v>-909193.45017600001</v>
      </c>
      <c r="N8" s="3">
        <f t="shared" si="6"/>
        <v>-909193.45017600001</v>
      </c>
      <c r="O8" s="1"/>
      <c r="P8" s="1"/>
      <c r="Q8" s="2"/>
    </row>
    <row r="9" spans="1:17" x14ac:dyDescent="0.35">
      <c r="A9" s="1"/>
      <c r="B9" s="1" t="s">
        <v>12</v>
      </c>
      <c r="C9" s="1"/>
      <c r="D9" s="3">
        <f t="shared" ref="D9:N9" si="7">D6+D8</f>
        <v>0</v>
      </c>
      <c r="E9" s="3">
        <f t="shared" si="7"/>
        <v>330000</v>
      </c>
      <c r="F9" s="3">
        <f t="shared" si="7"/>
        <v>472142</v>
      </c>
      <c r="G9" s="3">
        <f t="shared" si="7"/>
        <v>541586.56200000003</v>
      </c>
      <c r="H9" s="3">
        <f t="shared" si="7"/>
        <v>620255.74558199989</v>
      </c>
      <c r="I9" s="3">
        <f t="shared" si="7"/>
        <v>644825.84748581995</v>
      </c>
      <c r="J9" s="3">
        <f t="shared" si="7"/>
        <v>644825.84748581995</v>
      </c>
      <c r="K9" s="3">
        <f t="shared" si="7"/>
        <v>644825.84748581995</v>
      </c>
      <c r="L9" s="3">
        <f t="shared" si="7"/>
        <v>644825.84748581995</v>
      </c>
      <c r="M9" s="3">
        <f t="shared" si="7"/>
        <v>644825.84748581995</v>
      </c>
      <c r="N9" s="3">
        <f t="shared" si="7"/>
        <v>644825.84748581995</v>
      </c>
      <c r="O9" s="1"/>
      <c r="P9" s="1"/>
      <c r="Q9" s="2"/>
    </row>
    <row r="10" spans="1:17" x14ac:dyDescent="0.35">
      <c r="A10" s="1"/>
      <c r="B10" s="1" t="s">
        <v>13</v>
      </c>
      <c r="C10" s="1"/>
      <c r="D10" s="19">
        <v>-198000</v>
      </c>
      <c r="E10" s="19">
        <v>-198000</v>
      </c>
      <c r="F10" s="19">
        <v>-198000</v>
      </c>
      <c r="G10" s="19">
        <v>-198000</v>
      </c>
      <c r="H10" s="19">
        <v>-198000</v>
      </c>
      <c r="I10" s="19">
        <v>-198000</v>
      </c>
      <c r="J10" s="19">
        <v>-198000</v>
      </c>
      <c r="K10" s="19">
        <v>-198000</v>
      </c>
      <c r="L10" s="19">
        <v>-198000</v>
      </c>
      <c r="M10" s="19">
        <v>-198000</v>
      </c>
      <c r="N10" s="19">
        <v>-198000</v>
      </c>
      <c r="O10" s="1"/>
      <c r="P10" s="1"/>
      <c r="Q10" s="2"/>
    </row>
    <row r="11" spans="1:17" x14ac:dyDescent="0.35">
      <c r="A11" s="1"/>
      <c r="B11" s="1" t="s">
        <v>14</v>
      </c>
      <c r="C11" s="1"/>
      <c r="D11" s="19">
        <v>-108509.77747808496</v>
      </c>
      <c r="E11" s="19">
        <v>-109346.55700092165</v>
      </c>
      <c r="F11" s="19">
        <v>-110122.39775877766</v>
      </c>
      <c r="G11" s="19">
        <v>-110841.73763878577</v>
      </c>
      <c r="H11" s="19">
        <v>-111508.69133737723</v>
      </c>
      <c r="I11" s="19">
        <v>-112127.07389675904</v>
      </c>
      <c r="J11" s="19">
        <v>-112700.42252733896</v>
      </c>
      <c r="K11" s="19">
        <v>-113232.01684092452</v>
      </c>
      <c r="L11" s="19">
        <v>-113724.89761043238</v>
      </c>
      <c r="M11" s="19">
        <v>-114181.88416341506</v>
      </c>
      <c r="N11" s="19">
        <v>-114605.59050889798</v>
      </c>
      <c r="O11" s="1"/>
      <c r="P11" s="1"/>
      <c r="Q11" s="2"/>
    </row>
    <row r="12" spans="1:17" x14ac:dyDescent="0.35">
      <c r="A12" s="1"/>
      <c r="B12" s="1" t="s">
        <v>15</v>
      </c>
      <c r="C12" s="1"/>
      <c r="D12" s="3">
        <f t="shared" ref="D12:N12" si="8">D9+D10+D11</f>
        <v>-306509.77747808496</v>
      </c>
      <c r="E12" s="3">
        <f t="shared" si="8"/>
        <v>22653.442999078354</v>
      </c>
      <c r="F12" s="3">
        <f t="shared" si="8"/>
        <v>164019.60224122234</v>
      </c>
      <c r="G12" s="3">
        <f t="shared" si="8"/>
        <v>232744.82436121427</v>
      </c>
      <c r="H12" s="3">
        <f t="shared" si="8"/>
        <v>310747.05424462265</v>
      </c>
      <c r="I12" s="3">
        <f t="shared" si="8"/>
        <v>334698.77358906087</v>
      </c>
      <c r="J12" s="3">
        <f t="shared" si="8"/>
        <v>334125.42495848099</v>
      </c>
      <c r="K12" s="3">
        <f t="shared" si="8"/>
        <v>333593.83064489544</v>
      </c>
      <c r="L12" s="3">
        <f t="shared" si="8"/>
        <v>333100.9498753876</v>
      </c>
      <c r="M12" s="3">
        <f t="shared" si="8"/>
        <v>332643.96332240489</v>
      </c>
      <c r="N12" s="3">
        <f t="shared" si="8"/>
        <v>332220.25697692198</v>
      </c>
      <c r="O12" s="1"/>
      <c r="P12" s="1"/>
      <c r="Q12" s="2"/>
    </row>
    <row r="13" spans="1:17" ht="13.9" x14ac:dyDescent="0.4">
      <c r="A13" s="1"/>
      <c r="B13" s="4" t="str">
        <f>B12&amp;" [%]"</f>
        <v>EBIT [%]</v>
      </c>
      <c r="C13" s="4"/>
      <c r="D13" s="5">
        <f t="shared" ref="D13:N13" si="9">IFERROR(D12/D$6,"-")</f>
        <v>-0.425708024275118</v>
      </c>
      <c r="E13" s="5">
        <f t="shared" si="9"/>
        <v>2.0190234402030618E-2</v>
      </c>
      <c r="F13" s="5">
        <f t="shared" si="9"/>
        <v>0.13157968383032609</v>
      </c>
      <c r="G13" s="5">
        <f t="shared" si="9"/>
        <v>0.1680579483516787</v>
      </c>
      <c r="H13" s="5">
        <f t="shared" si="9"/>
        <v>0.20196308067685834</v>
      </c>
      <c r="I13" s="5">
        <f t="shared" si="9"/>
        <v>0.21537620162931645</v>
      </c>
      <c r="J13" s="5">
        <f t="shared" si="9"/>
        <v>0.21500725599817624</v>
      </c>
      <c r="K13" s="5">
        <f t="shared" si="9"/>
        <v>0.21466517896323506</v>
      </c>
      <c r="L13" s="5">
        <f t="shared" si="9"/>
        <v>0.21434801380946289</v>
      </c>
      <c r="M13" s="5">
        <f t="shared" si="9"/>
        <v>0.21405394632029445</v>
      </c>
      <c r="N13" s="5">
        <f t="shared" si="9"/>
        <v>0.21378129440012819</v>
      </c>
      <c r="O13" s="1"/>
      <c r="P13" s="1"/>
      <c r="Q13" s="2"/>
    </row>
    <row r="14" spans="1:17" ht="13.9" x14ac:dyDescent="0.35">
      <c r="A14" s="1"/>
      <c r="B14" s="24" t="s">
        <v>46</v>
      </c>
      <c r="C14" s="24"/>
      <c r="D14" s="23">
        <f t="shared" ref="D14:N14" si="10">D12-D11</f>
        <v>-198000</v>
      </c>
      <c r="E14" s="23">
        <f t="shared" si="10"/>
        <v>132000</v>
      </c>
      <c r="F14" s="23">
        <f t="shared" si="10"/>
        <v>274142</v>
      </c>
      <c r="G14" s="23">
        <f t="shared" si="10"/>
        <v>343586.56200000003</v>
      </c>
      <c r="H14" s="23">
        <f t="shared" si="10"/>
        <v>422255.74558199989</v>
      </c>
      <c r="I14" s="23">
        <f t="shared" si="10"/>
        <v>446825.84748581995</v>
      </c>
      <c r="J14" s="23">
        <f t="shared" si="10"/>
        <v>446825.84748581995</v>
      </c>
      <c r="K14" s="23">
        <f t="shared" si="10"/>
        <v>446825.84748581995</v>
      </c>
      <c r="L14" s="23">
        <f t="shared" si="10"/>
        <v>446825.84748581995</v>
      </c>
      <c r="M14" s="23">
        <f t="shared" si="10"/>
        <v>446825.84748581995</v>
      </c>
      <c r="N14" s="23">
        <f t="shared" si="10"/>
        <v>446825.84748581995</v>
      </c>
      <c r="O14" s="1"/>
      <c r="P14" s="1"/>
      <c r="Q14" s="1"/>
    </row>
    <row r="15" spans="1:17" ht="13.9" x14ac:dyDescent="0.4">
      <c r="A15" s="1"/>
      <c r="B15" s="4" t="str">
        <f>B14&amp;" [%]"</f>
        <v>EBITDA [%]</v>
      </c>
      <c r="C15" s="4"/>
      <c r="D15" s="5">
        <f t="shared" ref="D15:N15" si="11">IFERROR(D14/D$6,"-")</f>
        <v>-0.27500000000000002</v>
      </c>
      <c r="E15" s="5">
        <f t="shared" si="11"/>
        <v>0.11764705882352941</v>
      </c>
      <c r="F15" s="5">
        <f t="shared" si="11"/>
        <v>0.21992199219921993</v>
      </c>
      <c r="G15" s="5">
        <f t="shared" si="11"/>
        <v>0.2480933909031291</v>
      </c>
      <c r="H15" s="5">
        <f t="shared" si="11"/>
        <v>0.27443565448607998</v>
      </c>
      <c r="I15" s="5">
        <f t="shared" si="11"/>
        <v>0.28752914983624389</v>
      </c>
      <c r="J15" s="5">
        <f t="shared" si="11"/>
        <v>0.28752914983624389</v>
      </c>
      <c r="K15" s="5">
        <f t="shared" si="11"/>
        <v>0.28752914983624389</v>
      </c>
      <c r="L15" s="5">
        <f t="shared" si="11"/>
        <v>0.28752914983624389</v>
      </c>
      <c r="M15" s="5">
        <f t="shared" si="11"/>
        <v>0.28752914983624389</v>
      </c>
      <c r="N15" s="5">
        <f t="shared" si="11"/>
        <v>0.28752914983624389</v>
      </c>
      <c r="O15" s="1"/>
      <c r="P15" s="1"/>
      <c r="Q15" s="2"/>
    </row>
    <row r="16" spans="1:17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1:17" x14ac:dyDescent="0.3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1:17" ht="13.9" x14ac:dyDescent="0.4">
      <c r="A18" s="1"/>
      <c r="B18" s="13" t="s">
        <v>42</v>
      </c>
      <c r="C18" s="13"/>
      <c r="D18" s="15">
        <v>0</v>
      </c>
      <c r="E18" s="15">
        <f t="shared" ref="E18:M18" si="12">D18+1</f>
        <v>1</v>
      </c>
      <c r="F18" s="15">
        <f t="shared" si="12"/>
        <v>2</v>
      </c>
      <c r="G18" s="15">
        <f t="shared" si="12"/>
        <v>3</v>
      </c>
      <c r="H18" s="15">
        <f t="shared" si="12"/>
        <v>4</v>
      </c>
      <c r="I18" s="15">
        <f t="shared" si="12"/>
        <v>5</v>
      </c>
      <c r="J18" s="15">
        <f t="shared" si="12"/>
        <v>6</v>
      </c>
      <c r="K18" s="15">
        <f t="shared" si="12"/>
        <v>7</v>
      </c>
      <c r="L18" s="15">
        <f t="shared" si="12"/>
        <v>8</v>
      </c>
      <c r="M18" s="15">
        <f t="shared" si="12"/>
        <v>9</v>
      </c>
      <c r="N18" s="15" t="s">
        <v>47</v>
      </c>
      <c r="O18" s="1"/>
      <c r="P18" s="1"/>
      <c r="Q18" s="1"/>
    </row>
    <row r="19" spans="1:17" x14ac:dyDescent="0.35">
      <c r="A19" s="1"/>
      <c r="B19" s="1" t="s">
        <v>46</v>
      </c>
      <c r="C19" s="1"/>
      <c r="D19" s="3">
        <f t="shared" ref="D19:N19" si="13">D14</f>
        <v>-198000</v>
      </c>
      <c r="E19" s="3">
        <f t="shared" si="13"/>
        <v>132000</v>
      </c>
      <c r="F19" s="3">
        <f t="shared" si="13"/>
        <v>274142</v>
      </c>
      <c r="G19" s="3">
        <f t="shared" si="13"/>
        <v>343586.56200000003</v>
      </c>
      <c r="H19" s="3">
        <f t="shared" si="13"/>
        <v>422255.74558199989</v>
      </c>
      <c r="I19" s="3">
        <f t="shared" si="13"/>
        <v>446825.84748581995</v>
      </c>
      <c r="J19" s="3">
        <f t="shared" si="13"/>
        <v>446825.84748581995</v>
      </c>
      <c r="K19" s="3">
        <f t="shared" si="13"/>
        <v>446825.84748581995</v>
      </c>
      <c r="L19" s="3">
        <f t="shared" si="13"/>
        <v>446825.84748581995</v>
      </c>
      <c r="M19" s="3">
        <f t="shared" si="13"/>
        <v>446825.84748581995</v>
      </c>
      <c r="N19" s="3">
        <f t="shared" si="13"/>
        <v>446825.84748581995</v>
      </c>
      <c r="O19" s="1"/>
      <c r="P19" s="1"/>
      <c r="Q19" s="1"/>
    </row>
    <row r="20" spans="1:17" x14ac:dyDescent="0.35">
      <c r="A20" s="1"/>
      <c r="B20" s="1" t="s">
        <v>36</v>
      </c>
      <c r="C20" s="1"/>
      <c r="D20" s="19">
        <v>-21600</v>
      </c>
      <c r="E20" s="3">
        <f t="shared" ref="E20:N20" si="14">(E6-D6)*$Q$4</f>
        <v>-60300</v>
      </c>
      <c r="F20" s="3">
        <f t="shared" si="14"/>
        <v>-18681.3</v>
      </c>
      <c r="G20" s="3">
        <f t="shared" si="14"/>
        <v>-20754.924300000002</v>
      </c>
      <c r="H20" s="3">
        <f t="shared" si="14"/>
        <v>-23058.720897299994</v>
      </c>
      <c r="I20" s="3">
        <f t="shared" si="14"/>
        <v>-2307.9494519729983</v>
      </c>
      <c r="J20" s="3">
        <f t="shared" si="14"/>
        <v>0</v>
      </c>
      <c r="K20" s="3">
        <f t="shared" si="14"/>
        <v>0</v>
      </c>
      <c r="L20" s="3">
        <f t="shared" si="14"/>
        <v>0</v>
      </c>
      <c r="M20" s="3">
        <f t="shared" si="14"/>
        <v>0</v>
      </c>
      <c r="N20" s="3">
        <f t="shared" si="14"/>
        <v>0</v>
      </c>
      <c r="O20" s="1"/>
      <c r="P20" s="1"/>
      <c r="Q20" s="1"/>
    </row>
    <row r="21" spans="1:17" x14ac:dyDescent="0.35">
      <c r="A21" s="1"/>
      <c r="B21" s="1" t="s">
        <v>48</v>
      </c>
      <c r="C21" s="1"/>
      <c r="D21" s="3">
        <f>-Q5*D12</f>
        <v>-104213.32434254889</v>
      </c>
      <c r="E21" s="3">
        <f t="shared" ref="E21:N21" si="15">-R21*E12</f>
        <v>0</v>
      </c>
      <c r="F21" s="3">
        <f t="shared" si="15"/>
        <v>0</v>
      </c>
      <c r="G21" s="3">
        <f t="shared" si="15"/>
        <v>0</v>
      </c>
      <c r="H21" s="3">
        <f t="shared" si="15"/>
        <v>0</v>
      </c>
      <c r="I21" s="3">
        <f t="shared" si="15"/>
        <v>0</v>
      </c>
      <c r="J21" s="3">
        <f t="shared" si="15"/>
        <v>0</v>
      </c>
      <c r="K21" s="3">
        <f t="shared" si="15"/>
        <v>0</v>
      </c>
      <c r="L21" s="3">
        <f t="shared" si="15"/>
        <v>0</v>
      </c>
      <c r="M21" s="3">
        <f t="shared" si="15"/>
        <v>0</v>
      </c>
      <c r="N21" s="3">
        <f t="shared" si="15"/>
        <v>0</v>
      </c>
      <c r="O21" s="1"/>
      <c r="P21" s="1"/>
      <c r="Q21" s="1"/>
    </row>
    <row r="22" spans="1:17" x14ac:dyDescent="0.35">
      <c r="A22" s="1"/>
      <c r="B22" s="1" t="s">
        <v>49</v>
      </c>
      <c r="C22" s="1"/>
      <c r="D22" s="19">
        <v>-120000</v>
      </c>
      <c r="E22" s="19">
        <f t="shared" ref="E22:N22" si="16">D22</f>
        <v>-120000</v>
      </c>
      <c r="F22" s="19">
        <f t="shared" si="16"/>
        <v>-120000</v>
      </c>
      <c r="G22" s="19">
        <f t="shared" si="16"/>
        <v>-120000</v>
      </c>
      <c r="H22" s="19">
        <f t="shared" si="16"/>
        <v>-120000</v>
      </c>
      <c r="I22" s="19">
        <f t="shared" si="16"/>
        <v>-120000</v>
      </c>
      <c r="J22" s="19">
        <f t="shared" si="16"/>
        <v>-120000</v>
      </c>
      <c r="K22" s="19">
        <f t="shared" si="16"/>
        <v>-120000</v>
      </c>
      <c r="L22" s="19">
        <f t="shared" si="16"/>
        <v>-120000</v>
      </c>
      <c r="M22" s="19">
        <f t="shared" si="16"/>
        <v>-120000</v>
      </c>
      <c r="N22" s="19">
        <f t="shared" si="16"/>
        <v>-120000</v>
      </c>
      <c r="O22" s="1"/>
      <c r="P22" s="1"/>
      <c r="Q22" s="1"/>
    </row>
    <row r="23" spans="1:17" x14ac:dyDescent="0.35">
      <c r="A23" s="1"/>
      <c r="B23" s="3" t="s">
        <v>50</v>
      </c>
      <c r="C23" s="3"/>
      <c r="D23" s="3">
        <f t="shared" ref="D23:N23" si="17">D19+D20+D21+D22</f>
        <v>-443813.32434254891</v>
      </c>
      <c r="E23" s="3">
        <f t="shared" si="17"/>
        <v>-48300</v>
      </c>
      <c r="F23" s="3">
        <f t="shared" si="17"/>
        <v>135460.70000000001</v>
      </c>
      <c r="G23" s="3">
        <f t="shared" si="17"/>
        <v>202831.63770000002</v>
      </c>
      <c r="H23" s="3">
        <f t="shared" si="17"/>
        <v>279197.02468469989</v>
      </c>
      <c r="I23" s="3">
        <f t="shared" si="17"/>
        <v>324517.89803384693</v>
      </c>
      <c r="J23" s="3">
        <f t="shared" si="17"/>
        <v>326825.84748581995</v>
      </c>
      <c r="K23" s="3">
        <f t="shared" si="17"/>
        <v>326825.84748581995</v>
      </c>
      <c r="L23" s="3">
        <f t="shared" si="17"/>
        <v>326825.84748581995</v>
      </c>
      <c r="M23" s="3">
        <f t="shared" si="17"/>
        <v>326825.84748581995</v>
      </c>
      <c r="N23" s="3">
        <f t="shared" si="17"/>
        <v>326825.84748581995</v>
      </c>
      <c r="O23" s="1"/>
      <c r="P23" s="1"/>
      <c r="Q23" s="1"/>
    </row>
    <row r="24" spans="1:17" x14ac:dyDescent="0.35">
      <c r="A24" s="1"/>
      <c r="B24" s="3" t="s">
        <v>51</v>
      </c>
      <c r="C24" s="3"/>
      <c r="D24" s="3">
        <f t="shared" ref="D24:M24" si="18">D23/(1+$Q$6)^D$18</f>
        <v>-443813.32434254891</v>
      </c>
      <c r="E24" s="3">
        <f t="shared" si="18"/>
        <v>-43909.090909090904</v>
      </c>
      <c r="F24" s="3">
        <f t="shared" si="18"/>
        <v>111950.99173553719</v>
      </c>
      <c r="G24" s="3">
        <f t="shared" si="18"/>
        <v>152390.41149511642</v>
      </c>
      <c r="H24" s="3">
        <f t="shared" si="18"/>
        <v>190695.32455754376</v>
      </c>
      <c r="I24" s="3">
        <f t="shared" si="18"/>
        <v>201500.08260355217</v>
      </c>
      <c r="J24" s="3">
        <f t="shared" si="18"/>
        <v>184484.67057347717</v>
      </c>
      <c r="K24" s="3">
        <f t="shared" si="18"/>
        <v>167713.33688497922</v>
      </c>
      <c r="L24" s="3">
        <f t="shared" si="18"/>
        <v>152466.66989543568</v>
      </c>
      <c r="M24" s="3">
        <f t="shared" si="18"/>
        <v>138606.06354130514</v>
      </c>
      <c r="N24" s="3">
        <f>(N23/(Q6-Q7))/(1+Q6)^(M18)</f>
        <v>1732575.7942663142</v>
      </c>
      <c r="O24" s="1"/>
      <c r="P24" s="1"/>
      <c r="Q24" s="1"/>
    </row>
    <row r="25" spans="1:17" ht="13.9" x14ac:dyDescent="0.35">
      <c r="A25" s="1"/>
      <c r="B25" s="24" t="s">
        <v>52</v>
      </c>
      <c r="C25" s="26">
        <f>SUM(D24:N24)</f>
        <v>2544660.9303016211</v>
      </c>
      <c r="D25" s="25">
        <f t="shared" ref="D25:N25" si="19">D24/$C$25</f>
        <v>-0.17440961153513812</v>
      </c>
      <c r="E25" s="25">
        <f t="shared" si="19"/>
        <v>-1.7255379837142513E-2</v>
      </c>
      <c r="F25" s="25">
        <f t="shared" si="19"/>
        <v>4.3994463231793922E-2</v>
      </c>
      <c r="G25" s="25">
        <f t="shared" si="19"/>
        <v>5.9886332862843714E-2</v>
      </c>
      <c r="H25" s="25">
        <f t="shared" si="19"/>
        <v>7.4939384767046535E-2</v>
      </c>
      <c r="I25" s="25">
        <f t="shared" si="19"/>
        <v>7.918543496467649E-2</v>
      </c>
      <c r="J25" s="25">
        <f t="shared" si="19"/>
        <v>7.2498724044782664E-2</v>
      </c>
      <c r="K25" s="25">
        <f t="shared" si="19"/>
        <v>6.5907930949802421E-2</v>
      </c>
      <c r="L25" s="25">
        <f t="shared" si="19"/>
        <v>5.9916300863456749E-2</v>
      </c>
      <c r="M25" s="25">
        <f t="shared" si="19"/>
        <v>5.4469364421324308E-2</v>
      </c>
      <c r="N25" s="25">
        <f t="shared" si="19"/>
        <v>0.68086705526655389</v>
      </c>
      <c r="O25" s="1"/>
      <c r="P25" s="1"/>
      <c r="Q25" s="1"/>
    </row>
  </sheetData>
  <mergeCells count="1">
    <mergeCell ref="P2:Q2"/>
  </mergeCells>
  <pageMargins left="0.25" right="0.25" top="0.75" bottom="0.75" header="0.3" footer="0.3"/>
  <pageSetup paperSize="9" orientation="landscape" r:id="rId1"/>
</worksheet>
</file>

<file path=customUI/_rels/customUI14.xml.rels><?xml version="1.0" encoding="UTF-8" standalone="yes"?>
<Relationships xmlns="http://schemas.openxmlformats.org/package/2006/relationships"><Relationship Id="icon_big" Type="http://schemas.openxmlformats.org/officeDocument/2006/relationships/image" Target="images/icon_big.png"/></Relationships>
</file>

<file path=customUI/customUI14.xml><?xml version="1.0" encoding="utf-8"?>
<customUI xmlns="http://schemas.microsoft.com/office/2009/07/customui">
  <ribbon>
    <tabs>
      <tab id="customTab" label="NEAT" insertAfterMso="TabDeveloper">
        <group id="SaveGroup" label="Save">
          <button id="SaveButton1" label="New Version" size="large" onAction="Save" imageMso="SaveSelectionToPageNumberMargin" screentip="Shortcut: Ctrl+Shift+s" supertip="New file will keep the same name format but with an incremental version number; if this is the first version of the file, you will be able to choose a file name (ex: 1.01 &gt; 1.02)"/>
          <menu id="SaveMenu1" label="Other Options" size="large" imageMso="FormPublish" itemSize="large" screentip="Other saving options">
            <button id="SaveButton2" label="A1 Version" onAction="SaveA1Active" imageMso="SaveSelectionToHeaderGallery" screentip="Shortcut: Ctrl+Shift+b" supertip="Saves a new version where all sheets will have the cursor on the cell A1"/>
            <button id="SaveButton3" label="Jump Version" onAction="JumpVersion" imageMso="SaveAndClose" screentip="Shortcut: Ctrl+Shift+v" supertip="Starts a new version of the file (ex: 1.01 &gt; 2.01)"/>
            <button id="SaveButton4" label="User Initials" onAction="ChangeId" imageMso="RecordsAddFromOutlook" screentip="Change user initials" supertip="Insert user initials to be used on the file name everytime a new version is saved"/>
          </menu>
        </group>
        <group id="SpreadsheetGroup" label="Spreadsheet">
          <button id="SpreadsheetButton1" label="Worksheet Zoom" size="large" onAction="Set_Zoom" imageMso="ZoomPrintPreviewExcel" screentip="Shortcut: Ctrl+Shift+z" supertip="Choose the zoom that you want to apply to all the sheets within this workbook"/>
          <menu id="HideMenu" label="Hide" size="large" imageMso="FilePermissionView" itemSize="large" screentip="Hide/unhide elements of the spreadsheet">
            <button id="HideButton1" label="Hide Sheet" onAction="cantTouchThis" imageMso="CreateFormBlankForm" screentip="Shortcut: Ctrl+Shift+h" supertip="Hide this sheet; only with NEAT Addin user will be able to unhide"/>
            <button id="HideButton2" label="Unhide Sheets" onAction="showHidden" imageMso="CreateTable" screentip="Shortcut: Ctrl+Shift+u" supertip="Will unhide all hidden sheets on the file"/>
            <button id="HideButton3" label="Hide/Unhide Headers" onAction="HideAllHeaders" imageMso="ControlTitle" supertip="This command will hide all the headers of the spreadsheet; if already hidden it will unhide"/>
          </menu>
          <button id="SpreadsheetButton2" label="Duplicate Window" size="large" onAction="NewWindow" imageMso="QuerySelectQueryType" screentip="Shortcut: Ctrl+Shift+n" supertip="Duplicates current excel window to enable visualization of two tabs at the same time"/>
          <button id="SpreadsheetButton3" label="Insert Sheet" size="large" onAction="NewSheet" imageMso="SheetInsert" screentip="Shortcut: Ctrl+Shift+x" supertip="Create a new clean sheet after the current one"/>
          <menu id="TemplatesMenu" label="NEAT Templates" size="large" imageMso="CreateTableInDesignView" itemSize="large" screentip="Insert templates">
            <button id="TemplateButton1" label="Financial Statements" onAction="NewFS" imageMso="SheetInsert" supertip="Insert template of Financial Statements"/>
            <button id="TemplateButton2" label="DCF (w/ historical)" onAction="NewEV1" imageMso="SheetInsert" supertip="Insert template of DCF with historical data"/>
            <button id="TemplateButton3" label="DCF (w/o historical)" onAction="NewEV2" imageMso="SheetInsert" supertip="Insert template of DCF without historical data"/>
          </menu>
        </group>
        <group id="CellsGroup" label="Format Cells">
          <button id="CellsButton1" label="Invert Columns" size="normal" onAction="FlipH" imageMso="DiagramReverseClassic" supertip="Invert column order of selected cells"/>
          <button id="CellsButton2" label="Reset Last Cell" size="normal" onAction="ClearExcessRowsAndColumns" imageMso="TableStyleClear" supertip="Clean unecessary formats in the spreadsheet"/>
          <button id="CellsButton7" label="Center Across" size="normal" onAction="CenterAcross" imageMso="MergeCells" screentip="Shortcut: Ctrl+Shift+m" supertip="Center the cell content across the selected range (does not merge the cells)"/>
          <button id="CellsButton4" label="Paste Inputs" size="normal" onAction="DefineInputs" imageMso="FieldShading" screentip="Shortcut: Ctrl+Shift+i" supertip="Paste as values all formulas in the sheet"/>
          <button id="CellsButton3" label="Hide Errors" size="normal" onAction="HideErrors" imageMso="RecordsDeleteRecord" screentip="Shortcut: Ctrl+Shift+e" supertip="Add formula IFERROR to selected cells and allow user to choose what message to display when there's an error"/>
          <menu id="StampMenu" label="Stamp" size="normal" itemSize="normal" imageMso="SignatureShow" screentip="Insert stamps">
            <button id="StampButton1" label="Date Stamp" onAction="DateStamp" imageMso="ContentControlDate" supertip="Paste current date on the selected cell"/>
            <button id="StampButton2" label="Time Stamp" onAction="TimeStamp" imageMso="StartAfterPrevious" supertip="Paste current time on the selected cell"/>
          </menu>
        </group>
        <group id="NumbersGroup" label="Format Numbers">
          <button id="NumbersButton1" label="Add Decimal" onAction="AddDecimal" imageMso="DecimalsIncrease" screentip="Shortcut: Ctrl+Alt+." supertip="Add decimals to a range with different formats and number of decimals"/>
          <button id="NumbersButton2" label="Remove Decimal" onAction="RemoveDecimal" imageMso="DecimalsDecrease" screentip="Shortcut: Ctrl+Shift+." supertip="Remove decimals to a range with different formats and number of decimals"/>
          <button id="NumbersButton3" label="Multiply by Range" onAction="MultiplyByRange" imageMso="ChartSwitchRowColumn" supertip="Multiply a range by a single cell maintaining formulas and formats"/>
          <button id="NumbersButton4" label="Opposite" onAction="Opposite" imageMso="PivotExpandIndicators" screentip="Shortcut: Ctrl+Shift+o" supertip="Change number sign of selected cells(Negative-Positive)"/>
          <button id="NumbersButton5" label="Percentage" onAction="Pct" imageMso="PercentStyle" screentip="Shortcut: Ctrl+Shift+p" supertip="Add percentage sign to selected cells (ex: 10-&gt;10%)"/>
          <menu id="Thousand" label="Thousand" size="normal" imageMso="K" itemSize="normal" screentip="Multiply/Divide range by 1000">
            <button id="ThousandButton1" label="Multiply by 1000" onAction="xThousand" imageMso="T" screentip="Shortcut: Ctrl+Shift+k" supertip="Multiply selected cells by 1000"/>
            <button id="ThousandButton2" label="Divide by 1000" onAction="divThousand" imageMso="D" screentip="Shortcut: Ctrl+Shift+j" supertip="Divide selected cells by 1000"/>
          </menu>
        </group>
        <group id="ReferenceGroup" label="Reference">
          <button id="ReferenceButton1" label="Trace All Precedents" onAction="TraceAllPrec" imageMso="DiagramShapeMoveForwardClassic" supertip="Find all the precedents of a range"/>
          <button id="ReferenceButton2" label="Trace All Dependents" onAction="TraceAllDep" imageMso="DiagramShapeMoveBackwardClassic" supertip="Find all the dependents of a range"/>
          <button id="ReferenceButton3" label="Remove All Arrows" onAction="CleanArrows" imageMso="InkDeleteAllInk" supertip="Clean all precedents/Dependents arrows"/>
        </group>
        <group id="PvtGroup" label="Pivot Table">
          <button id="PvtButton1" label="Insert Clean" size="large" onAction="InsertCleanPvt" imageMso="CreateQueryFromWizard" screentip="Shortcut: Ctrl+Alt+i" supertip="Insert new pivot table in a new sheet with tabular format, without subtotals/grand totals and colors"/>
          <button id="PvtButton2" label="Clean Format" size="normal" onAction="CleanPivotTable" imageMso="FormatPainter" supertip="Format Pivot Table as tabular, without subtotals/grand totals and colors"/>
          <button id="PvtButton3" label="Add All Fields" size="normal" onAction="AddAllFieldsValues" imageMso="CacheListData" screentip="Shortcut: Ctrl+Alt+a" supertip="Add all the fields on the list to the pivot table"/>
          <button id="PvtButton4" label="Convert to Sum" size="normal" onAction="PivotFieldsToSum" imageMso="AutoSum" screentip="Shortcut: Ctrl+Alt+s" supertip="Convert the Pivot Table fields on the values box to Sum"/>
        </group>
        <group id="AboutGroup">
          <menu id="About" label="About" size="large" image="icon_big" itemSize="large">
            <button id="AboutButton1" label="About" onAction="Authors" image="icon_big" supertip="Learn more about NEAT"/>
            <button id="UninstallButton1" label="Uninstall" onAction="RemoveAddinFromRibbon" imageMso="PrintPreviewClose" supertip="Uninstall NEAT"/>
          </menu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NEAT</vt:lpstr>
      <vt:lpstr>Tutorial</vt:lpstr>
      <vt:lpstr>FS(2)</vt:lpstr>
      <vt:lpstr>DCF(3)</vt:lpstr>
      <vt:lpstr>DCF(4)</vt:lpstr>
      <vt:lpstr>FS(1)</vt:lpstr>
      <vt:lpstr>DCF(1)</vt:lpstr>
      <vt:lpstr>DCF(2)</vt:lpstr>
      <vt:lpstr>AddinName</vt:lpstr>
      <vt:lpstr>Checkem</vt:lpstr>
      <vt:lpstr>IsInstaller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NEAT Add-In (v0.9 beta)</dc:title>
  <dc:creator>Brunno Bagnariolli;Daniel Holanda;Henrique Costa;Rodrigo Boscariol</dc:creator>
  <cp:keywords>addin; MSExcel; productivity; neat</cp:keywords>
  <dc:description>NEAT was designed to increase your productivity._x000d_
_x000d_
We believe that time is the most scarse resource and we want to make sure that you don't waste on useless tasks._x000d_
_x000d_
Version 0.9 beta - www.neataddin.com</dc:description>
  <cp:lastModifiedBy>Daniel Holanda</cp:lastModifiedBy>
  <dcterms:created xsi:type="dcterms:W3CDTF">2010-02-12T17:08:12Z</dcterms:created>
  <dcterms:modified xsi:type="dcterms:W3CDTF">2018-08-13T13:57:06Z</dcterms:modified>
  <cp:category>MS Excel addin</cp:category>
  <cp:version>052015</cp:version>
</cp:coreProperties>
</file>